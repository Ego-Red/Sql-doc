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D:\Abhishek rana(updated 2025)\Excel projects with visualtization\"/>
    </mc:Choice>
  </mc:AlternateContent>
  <xr:revisionPtr revIDLastSave="0" documentId="8_{1F91A325-8374-4A9E-A698-81F0E821C896}" xr6:coauthVersionLast="47" xr6:coauthVersionMax="47" xr10:uidLastSave="{00000000-0000-0000-0000-000000000000}"/>
  <bookViews>
    <workbookView xWindow="-108" yWindow="-108" windowWidth="23256" windowHeight="12456" firstSheet="3" activeTab="3" xr2:uid="{A03ADE45-A57E-4CFF-94AD-8170BB643DC4}"/>
  </bookViews>
  <sheets>
    <sheet name="HDI components" sheetId="1" r:id="rId1"/>
    <sheet name="Working Sheet" sheetId="2" r:id="rId2"/>
    <sheet name="Pivot Table" sheetId="3" r:id="rId3"/>
    <sheet name="Dashboard" sheetId="4" r:id="rId4"/>
  </sheets>
  <definedNames>
    <definedName name="_xlnm._FilterDatabase" localSheetId="1" hidden="1">'Working Sheet'!$A$1:$P$276</definedName>
    <definedName name="Slicer_Country">#N/A</definedName>
    <definedName name="Slicer_HDI_Category">#N/A</definedName>
    <definedName name="Slicer_HDI_rank_2021">#N/A</definedName>
    <definedName name="upload">'HDI components'!$A$1:$P$277</definedName>
    <definedName name="upload2">'HDI components'!$A$1:$O$275</definedName>
  </definedNames>
  <calcPr calcId="191028"/>
  <pivotCaches>
    <pivotCache cacheId="666" r:id="rId5"/>
  </pivotCaches>
  <webPublishObjects count="2">
    <webPublishObject id="8593" divId="HDI components_8593" sourceObject="upload" destinationFile="C:\Users\Anuradha.Chimata\OneDrive - United Nations\UNDATA\HDI2022\HDI components.htm"/>
    <webPublishObject id="25182" divId="HDI components_25182" sourceObject="upload2" destinationFile="C:\Users\Anuradha.Chimata\OneDrive - United Nations\UNDATA\HDI2022\HDI componentsweb.htm"/>
  </webPublishObject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3" i="2" l="1"/>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alcChain>
</file>

<file path=xl/sharedStrings.xml><?xml version="1.0" encoding="utf-8"?>
<sst xmlns="http://schemas.openxmlformats.org/spreadsheetml/2006/main" count="794" uniqueCount="324">
  <si>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</si>
  <si>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</si>
  <si>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</si>
  <si>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</si>
  <si>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</si>
  <si>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</si>
  <si>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</si>
  <si>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</si>
  <si>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</si>
  <si>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</si>
  <si>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</si>
  <si>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</si>
  <si>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</si>
  <si>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</si>
  <si>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(2017 PPP $)</t>
  </si>
  <si>
    <t>a</t>
  </si>
  <si>
    <t>b</t>
  </si>
  <si>
    <t>VERY HIGH HUMAN DEVELOPMENT</t>
  </si>
  <si>
    <t>Switzerland</t>
  </si>
  <si>
    <t>Norway</t>
  </si>
  <si>
    <t>c</t>
  </si>
  <si>
    <t>Iceland</t>
  </si>
  <si>
    <t>Hong Kong, China (SAR)</t>
  </si>
  <si>
    <t>d</t>
  </si>
  <si>
    <t>Australia</t>
  </si>
  <si>
    <t>Denmark</t>
  </si>
  <si>
    <t>Sweden</t>
  </si>
  <si>
    <t>Ireland</t>
  </si>
  <si>
    <t>e</t>
  </si>
  <si>
    <t>f</t>
  </si>
  <si>
    <t>Germany</t>
  </si>
  <si>
    <t>Netherlands</t>
  </si>
  <si>
    <t>c,e</t>
  </si>
  <si>
    <t>Finland</t>
  </si>
  <si>
    <t>Singapore</t>
  </si>
  <si>
    <t>Belgium</t>
  </si>
  <si>
    <t>New Zealand</t>
  </si>
  <si>
    <t>Canada</t>
  </si>
  <si>
    <t>Liechtenstein</t>
  </si>
  <si>
    <t>g</t>
  </si>
  <si>
    <t>f,h</t>
  </si>
  <si>
    <t>Luxembourg</t>
  </si>
  <si>
    <t>i</t>
  </si>
  <si>
    <t>United Kingdom</t>
  </si>
  <si>
    <t>Japan</t>
  </si>
  <si>
    <t>Korea (Republic of)</t>
  </si>
  <si>
    <t>United States</t>
  </si>
  <si>
    <t>Israel</t>
  </si>
  <si>
    <t>Malta</t>
  </si>
  <si>
    <t>Slovenia</t>
  </si>
  <si>
    <t>Austria</t>
  </si>
  <si>
    <t>United Arab Emirates</t>
  </si>
  <si>
    <t>Spain</t>
  </si>
  <si>
    <t>France</t>
  </si>
  <si>
    <t>Cyprus</t>
  </si>
  <si>
    <t>Italy</t>
  </si>
  <si>
    <t>Estonia</t>
  </si>
  <si>
    <t>Czechia</t>
  </si>
  <si>
    <t>Greece</t>
  </si>
  <si>
    <t>Poland</t>
  </si>
  <si>
    <t>Bahrain</t>
  </si>
  <si>
    <t>Lithuania</t>
  </si>
  <si>
    <t>Saudi Arabia</t>
  </si>
  <si>
    <t>Portugal</t>
  </si>
  <si>
    <t>Latvia</t>
  </si>
  <si>
    <t>Andorra</t>
  </si>
  <si>
    <t>j</t>
  </si>
  <si>
    <t>k</t>
  </si>
  <si>
    <t>Croatia</t>
  </si>
  <si>
    <t>Chile</t>
  </si>
  <si>
    <t>Qatar</t>
  </si>
  <si>
    <t>San Marino</t>
  </si>
  <si>
    <t>Slovakia</t>
  </si>
  <si>
    <t>Hungary</t>
  </si>
  <si>
    <t>Argentina</t>
  </si>
  <si>
    <t>Türkiye</t>
  </si>
  <si>
    <t>Montenegro</t>
  </si>
  <si>
    <t>Kuwait</t>
  </si>
  <si>
    <t>Brunei Darussalam</t>
  </si>
  <si>
    <t>Russian Federation</t>
  </si>
  <si>
    <t>Romania</t>
  </si>
  <si>
    <t>Oman</t>
  </si>
  <si>
    <t>Bahamas</t>
  </si>
  <si>
    <t>l</t>
  </si>
  <si>
    <t>Kazakhstan</t>
  </si>
  <si>
    <t>Trinidad and Tobago</t>
  </si>
  <si>
    <t>m</t>
  </si>
  <si>
    <t>Costa Rica</t>
  </si>
  <si>
    <t>Uruguay</t>
  </si>
  <si>
    <t>Belarus</t>
  </si>
  <si>
    <t>Panama</t>
  </si>
  <si>
    <t>Malaysia</t>
  </si>
  <si>
    <t>Georgia</t>
  </si>
  <si>
    <t>Mauritius</t>
  </si>
  <si>
    <t>Serbia</t>
  </si>
  <si>
    <t>Thailand</t>
  </si>
  <si>
    <t>HIGH HUMAN DEVELOPMENT</t>
  </si>
  <si>
    <t>Albania</t>
  </si>
  <si>
    <t>Bulgaria</t>
  </si>
  <si>
    <t>Grenada</t>
  </si>
  <si>
    <t>Barbados</t>
  </si>
  <si>
    <t>n</t>
  </si>
  <si>
    <t>Antigua and Barbuda</t>
  </si>
  <si>
    <t>Seychelles</t>
  </si>
  <si>
    <t>Sri Lanka</t>
  </si>
  <si>
    <t>Bosnia and Herzegovina</t>
  </si>
  <si>
    <t>Saint Kitts and Nevis</t>
  </si>
  <si>
    <t>Iran (Islamic Republic of)</t>
  </si>
  <si>
    <t>Ukraine</t>
  </si>
  <si>
    <t>North Macedonia</t>
  </si>
  <si>
    <t>China</t>
  </si>
  <si>
    <t>Dominican Republic</t>
  </si>
  <si>
    <t>o</t>
  </si>
  <si>
    <t>Moldova (Republic of)</t>
  </si>
  <si>
    <t>Palau</t>
  </si>
  <si>
    <t>p</t>
  </si>
  <si>
    <t>Cuba</t>
  </si>
  <si>
    <t>q</t>
  </si>
  <si>
    <t>Peru</t>
  </si>
  <si>
    <t>Armenia</t>
  </si>
  <si>
    <t>Mexico</t>
  </si>
  <si>
    <t>Brazil</t>
  </si>
  <si>
    <t>Colombia</t>
  </si>
  <si>
    <t>Saint Vincent and the Grenadines</t>
  </si>
  <si>
    <t>Maldives</t>
  </si>
  <si>
    <t>Algeria</t>
  </si>
  <si>
    <t>Azerbaijan</t>
  </si>
  <si>
    <t>Tonga</t>
  </si>
  <si>
    <t>Turkmenistan</t>
  </si>
  <si>
    <t>Ecuador</t>
  </si>
  <si>
    <t>Mongolia</t>
  </si>
  <si>
    <t>Egypt</t>
  </si>
  <si>
    <t>Tunisia</t>
  </si>
  <si>
    <t>Fiji</t>
  </si>
  <si>
    <t>Suriname</t>
  </si>
  <si>
    <t>Uzbekistan</t>
  </si>
  <si>
    <t>Dominica</t>
  </si>
  <si>
    <t>Jordan</t>
  </si>
  <si>
    <t>Libya</t>
  </si>
  <si>
    <t>r</t>
  </si>
  <si>
    <t>Paraguay</t>
  </si>
  <si>
    <t>Palestine, State of</t>
  </si>
  <si>
    <t>Saint Lucia</t>
  </si>
  <si>
    <t>Guyana</t>
  </si>
  <si>
    <t>South Africa</t>
  </si>
  <si>
    <t>Jamaica</t>
  </si>
  <si>
    <t>Samoa</t>
  </si>
  <si>
    <t>Gabon</t>
  </si>
  <si>
    <t>Lebanon</t>
  </si>
  <si>
    <t>Indonesia</t>
  </si>
  <si>
    <t>Viet Nam</t>
  </si>
  <si>
    <t>s</t>
  </si>
  <si>
    <t>MEDIUM HUMAN DEVELOPMENT</t>
  </si>
  <si>
    <t>Philippines</t>
  </si>
  <si>
    <t>Botswana</t>
  </si>
  <si>
    <t>Bolivia (Plurinational State of)</t>
  </si>
  <si>
    <t>Kyrgyzstan</t>
  </si>
  <si>
    <t>Venezuela (Bolivarian Republic of)</t>
  </si>
  <si>
    <t>t</t>
  </si>
  <si>
    <t>Iraq</t>
  </si>
  <si>
    <t>Tajikistan</t>
  </si>
  <si>
    <t>Belize</t>
  </si>
  <si>
    <t>Morocco</t>
  </si>
  <si>
    <t>El Salvador</t>
  </si>
  <si>
    <t>Nicaragua</t>
  </si>
  <si>
    <t>Bhutan</t>
  </si>
  <si>
    <t>Cabo Verde</t>
  </si>
  <si>
    <t>Bangladesh</t>
  </si>
  <si>
    <t>Tuvalu</t>
  </si>
  <si>
    <t>Marshall Islands</t>
  </si>
  <si>
    <t>India</t>
  </si>
  <si>
    <t>Ghana</t>
  </si>
  <si>
    <t>Micronesia (Federated States of)</t>
  </si>
  <si>
    <t>Guatemala</t>
  </si>
  <si>
    <t>Kiribati</t>
  </si>
  <si>
    <t>Honduras</t>
  </si>
  <si>
    <t>Sao Tome and Principe</t>
  </si>
  <si>
    <t>Namibia</t>
  </si>
  <si>
    <t>u</t>
  </si>
  <si>
    <t>Lao People's Democratic Republic</t>
  </si>
  <si>
    <t>Timor-Leste</t>
  </si>
  <si>
    <t>Vanuatu</t>
  </si>
  <si>
    <t>v</t>
  </si>
  <si>
    <t>Nepal</t>
  </si>
  <si>
    <t>Eswatini (Kingdom of)</t>
  </si>
  <si>
    <t>Equatorial Guinea</t>
  </si>
  <si>
    <t>Cambodia</t>
  </si>
  <si>
    <t>w</t>
  </si>
  <si>
    <t>Zimbabwe</t>
  </si>
  <si>
    <t>Angola</t>
  </si>
  <si>
    <t>Myanmar</t>
  </si>
  <si>
    <t>Syrian Arab Republic</t>
  </si>
  <si>
    <t>x</t>
  </si>
  <si>
    <t>Cameroon</t>
  </si>
  <si>
    <t>Kenya</t>
  </si>
  <si>
    <t>Congo</t>
  </si>
  <si>
    <t>Zambia</t>
  </si>
  <si>
    <t>Solomon Islands</t>
  </si>
  <si>
    <t>Comoros</t>
  </si>
  <si>
    <t>Papua New Guinea</t>
  </si>
  <si>
    <t>Mauritania</t>
  </si>
  <si>
    <t>Côte d'Ivoire</t>
  </si>
  <si>
    <t>LOW HUMAN DEVELOPMENT</t>
  </si>
  <si>
    <t>Tanzania (United Republic of)</t>
  </si>
  <si>
    <t>Pakistan</t>
  </si>
  <si>
    <t>Togo</t>
  </si>
  <si>
    <t>Haiti</t>
  </si>
  <si>
    <t>Nigeria</t>
  </si>
  <si>
    <t>Rwanda</t>
  </si>
  <si>
    <t>Benin</t>
  </si>
  <si>
    <t>Uganda</t>
  </si>
  <si>
    <t>Lesotho</t>
  </si>
  <si>
    <t>Malawi</t>
  </si>
  <si>
    <t>Senegal</t>
  </si>
  <si>
    <t>Djibouti</t>
  </si>
  <si>
    <t>Sudan</t>
  </si>
  <si>
    <t>Madagascar</t>
  </si>
  <si>
    <t>Gambia</t>
  </si>
  <si>
    <t>Ethiopia</t>
  </si>
  <si>
    <t>Eritrea</t>
  </si>
  <si>
    <t>y</t>
  </si>
  <si>
    <t>z</t>
  </si>
  <si>
    <t>Guinea-Bissau</t>
  </si>
  <si>
    <t>Liberia</t>
  </si>
  <si>
    <t>Congo (Democratic Republic of the)</t>
  </si>
  <si>
    <t>Afghanistan</t>
  </si>
  <si>
    <t>Sierra Leone</t>
  </si>
  <si>
    <t>Guinea</t>
  </si>
  <si>
    <t>Yemen</t>
  </si>
  <si>
    <t>Burkina Faso</t>
  </si>
  <si>
    <t>Mozambique</t>
  </si>
  <si>
    <t>Mali</t>
  </si>
  <si>
    <t>Burundi</t>
  </si>
  <si>
    <t>Central African Republic</t>
  </si>
  <si>
    <t>Niger</t>
  </si>
  <si>
    <t>Chad</t>
  </si>
  <si>
    <t>South Sudan</t>
  </si>
  <si>
    <t>aa</t>
  </si>
  <si>
    <t>OTHER COUNTRIES OR TERRITORIES</t>
  </si>
  <si>
    <t>Korea (Democratic People's Rep. of)</t>
  </si>
  <si>
    <t>..</t>
  </si>
  <si>
    <t>Monaco</t>
  </si>
  <si>
    <t>Nauru</t>
  </si>
  <si>
    <t>Somalia</t>
  </si>
  <si>
    <t>Human development groups</t>
  </si>
  <si>
    <t>Very high human development</t>
  </si>
  <si>
    <t>—</t>
  </si>
  <si>
    <t>High human development</t>
  </si>
  <si>
    <t>Medium human development</t>
  </si>
  <si>
    <t>Low human development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</si>
  <si>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</si>
  <si>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</si>
  <si>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</si>
  <si>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</si>
  <si>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</si>
  <si>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</si>
  <si>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</si>
  <si>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</si>
  <si>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</si>
  <si>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</si>
  <si>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</si>
  <si>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</si>
  <si>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</si>
  <si>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2021 or the most recent year available.</t>
  </si>
  <si>
    <t>b. Based on countries for which a Human Development Index value is calculated.</t>
  </si>
  <si>
    <t>c. In calculating the HDI value, expected years of schooling is capped at 18 years.</t>
  </si>
  <si>
    <t>d. In calculating the HDI value, life expectancy at birth is capped at 85 years.</t>
  </si>
  <si>
    <t>e. Updated by HDRO based on data from UNESCO Institute for Statistics (2022).</t>
  </si>
  <si>
    <t>f. In calculating the HDI value, GNI per capita is capped at $75,000.</t>
  </si>
  <si>
    <t>g. Updated by HDRO based on data from the Organisation for Economic Cooperation and Development for various years.</t>
  </si>
  <si>
    <t>h. Estimated using the purchasing power parity (PPP) rate and projected growth rate of Switzerland.</t>
  </si>
  <si>
    <t>i. Updated by HDRO based on data from OECD (2022) and UNESCO Institute for Statistics (2022).</t>
  </si>
  <si>
    <t>j. Based on data from the national statistical office.</t>
  </si>
  <si>
    <t>k. Estimated using the PPP rate of Spain.</t>
  </si>
  <si>
    <t>l. Based on cross-country regression.</t>
  </si>
  <si>
    <t>m. Updated by HDRO based on data from UNESCO Institute for Statistics (2022) and United Nations Children's Fund (UNICEF) Multiple Indicator Cluster Surveys for various years.</t>
  </si>
  <si>
    <t>n. Updated by HDRO based on data from Barro and Lee (2018) and UNESCO Institute for Statistics (2022).</t>
  </si>
  <si>
    <t>o. Updated by HDRO based on data from CEDLAS and World Bank (2022) and UNESCO Institute for Statistics (2022).</t>
  </si>
  <si>
    <t>p. Updated by HDRO based on data from the United Nations Educational, Scientific and Cultural Organization Institute for Statistics for various years.</t>
  </si>
  <si>
    <t>q. HDRO estimate based on cross-country regression and the projected growth rate from UNDESA (2022b).</t>
  </si>
  <si>
    <t>r. Updated by HDRO using projections from Barro and Lee (2018).</t>
  </si>
  <si>
    <t>s. Updated by HDRO based on data from UNICEF Multiple Indicator Cluster Surveys for various years.</t>
  </si>
  <si>
    <t>t. IMF (2021) and UNDESA (2022b).</t>
  </si>
  <si>
    <t>u. Updated by HDRO based on data from ICF Macro Demographic and Health Surveys for various years and UNESCO Institute for Statistics (2022).</t>
  </si>
  <si>
    <t>v. Based on projections from Barro and Lee (2018).</t>
  </si>
  <si>
    <t>w. Updated by HDRO based on data from ICF Macro Demographic and Health Surveys for various years.</t>
  </si>
  <si>
    <t>x. HDRO estimate based on data from UNDESA (2022b), United Nations Statistics Division (2022) and World Bank (2022).</t>
  </si>
  <si>
    <t>y. HDRO estimate based on cross-country regression and data from UNESCO Institute for Statistics (2022).</t>
  </si>
  <si>
    <t>z. HDRO estimate based on data from IMF (2022), United Nations Statistics Division (2022) and World Bank (2022).</t>
  </si>
  <si>
    <t>aa. HDRO estimate based on data from IMF (2022) and United Nations Statistics Division (2022).</t>
  </si>
  <si>
    <t>Definitions</t>
  </si>
  <si>
    <r>
      <rPr>
        <b/>
        <sz val="9"/>
        <rFont val="Tahoma"/>
        <family val="2"/>
      </rPr>
      <t>Human Development Index (HDI):</t>
    </r>
    <r>
      <rPr>
        <sz val="9"/>
        <rFont val="Tahoma"/>
        <family val="2"/>
      </rPr>
      <t xml:space="preserve"> A composite index measuring average achievement in three basic dimensions of human development—a long and healthy life, knowledge and a decent standard of living. See Technical note 1 at http://hdr.undp.org/sites/default/files/hdr2022_technical_notes.pdf for details on how the HDI is calculated.</t>
    </r>
  </si>
  <si>
    <t>Life expectancy at birth: Number of years a newborn infant could expect to live if prevailing patterns of age-specific mortality rates at the time of birth stay the same throughout the infant's life.</t>
  </si>
  <si>
    <t>Expected years of schooling: Number of years of schooling that a child of school entrance age can expect to receive if prevailing patterns of age-specific enrolment rates persist throughout the child's life.</t>
  </si>
  <si>
    <r>
      <rPr>
        <b/>
        <sz val="9"/>
        <rFont val="Tahoma"/>
        <family val="2"/>
      </rPr>
      <t>Mean years of schooling:</t>
    </r>
    <r>
      <rPr>
        <sz val="9"/>
        <rFont val="Tahoma"/>
        <family val="2"/>
      </rPr>
      <t xml:space="preserve"> Average number of years of education received by people ages 25 and older, converted from education attainment levels using official durations of each level.</t>
    </r>
  </si>
  <si>
    <r>
      <rPr>
        <b/>
        <sz val="9"/>
        <rFont val="Tahoma"/>
        <family val="2"/>
      </rPr>
      <t xml:space="preserve">Gross national income (GNI) per capita: </t>
    </r>
    <r>
      <rPr>
        <sz val="9"/>
        <rFont val="Tahoma"/>
        <family val="2"/>
      </rPr>
      <t>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</si>
  <si>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9"/>
        <rFont val="Tahoma"/>
        <family val="2"/>
      </rPr>
      <t>GNI per capita rank minus HDI rank:</t>
    </r>
    <r>
      <rPr>
        <sz val="9"/>
        <rFont val="Tahoma"/>
        <family val="2"/>
      </rPr>
      <t xml:space="preserve"> Difference in ranking by GNI per capita and by HDI value. A negative value means that the country is better ranked by GNI than by HDI value.</t>
    </r>
  </si>
  <si>
    <r>
      <rPr>
        <b/>
        <sz val="9"/>
        <rFont val="Tahoma"/>
        <family val="2"/>
      </rPr>
      <t>HDI rank for 2020:</t>
    </r>
    <r>
      <rPr>
        <sz val="9"/>
        <rFont val="Tahoma"/>
        <family val="2"/>
      </rPr>
      <t xml:space="preserve"> Ranking by HDI value for 2020, calculated using the same most recently revised data available in 2022 that were used to calculate HDI values for 2020.</t>
    </r>
  </si>
  <si>
    <t>Main data sources</t>
  </si>
  <si>
    <t>Columns 1 and 7: HDRO calculations based on data from Barro and Lee (2018), IMF (2022), UNDESA (2022a), UNESCO Institute for Statistics (2022), United Nations Statistics Division (2022) and World Bank (2022).</t>
  </si>
  <si>
    <t>Column 2: UNDESA (2022a).</t>
  </si>
  <si>
    <t>Column 3: CEDLAS and World Bank (2022), ICF Macro Demographic and Health Surveys, UNESCO Institute for Statistics (2022) and UNICEF Multiple Indicator Cluster Surveys.</t>
  </si>
  <si>
    <t>Column 4: Barro and Lee (2018), ICF Macro Demographic and Health Surveys, OECD (2022), UNESCO Institute for Statistics (2022) and UNICEF Multiple Indicator Cluster Surveys.</t>
  </si>
  <si>
    <t>Column 5: IMF (2022), UNDESA (2022b), United Nations Statistics Division (2022) and World Bank (2022).</t>
  </si>
  <si>
    <t>Column 6: Calculated based on data in columns 1 and 5.</t>
  </si>
  <si>
    <t>HDI rank 2021</t>
  </si>
  <si>
    <t>HDI rank 2020</t>
  </si>
  <si>
    <t>HDI Category</t>
  </si>
  <si>
    <t xml:space="preserve">Average Human Development Index (HDI) </t>
  </si>
  <si>
    <t>Row Labels</t>
  </si>
  <si>
    <t>Expected years of schooling (kids)</t>
  </si>
  <si>
    <t>Mean years of schooling(adults)</t>
  </si>
  <si>
    <t>Sum of GNI per capita rank minus HDI rank</t>
  </si>
  <si>
    <t>Grand Total</t>
  </si>
  <si>
    <t>HDI DASHBOARD</t>
  </si>
  <si>
    <t xml:space="preserve">OBJECTIVE- To practice data cleaning, structuring, and fundamental analysis techniques in Excel, using a real-world dataset commonly referenced in global development studies.
</t>
  </si>
  <si>
    <r>
      <t>HDI Value:</t>
    </r>
    <r>
      <rPr>
        <sz val="11"/>
        <color theme="1"/>
        <rFont val="Calibri"/>
        <family val="2"/>
        <scheme val="minor"/>
      </rPr>
      <t xml:space="preserve"> 0.633 → categorized as </t>
    </r>
    <r>
      <rPr>
        <i/>
        <sz val="11"/>
        <color theme="1"/>
        <rFont val="Calibri"/>
        <family val="2"/>
        <scheme val="minor"/>
      </rPr>
      <t>Medium Human Development</t>
    </r>
  </si>
  <si>
    <r>
      <t>Life Expectancy:</t>
    </r>
    <r>
      <rPr>
        <sz val="11"/>
        <color theme="1"/>
        <rFont val="Calibri"/>
        <family val="2"/>
        <scheme val="minor"/>
      </rPr>
      <t xml:space="preserve"> ~67.2 years</t>
    </r>
  </si>
  <si>
    <r>
      <t>Expected Years of Schooling:</t>
    </r>
    <r>
      <rPr>
        <sz val="11"/>
        <color theme="1"/>
        <rFont val="Calibri"/>
        <family val="2"/>
        <scheme val="minor"/>
      </rPr>
      <t xml:space="preserve"> ~11.9 years</t>
    </r>
  </si>
  <si>
    <r>
      <t>Mean Years of Schooling:</t>
    </r>
    <r>
      <rPr>
        <sz val="11"/>
        <color theme="1"/>
        <rFont val="Calibri"/>
        <family val="2"/>
        <scheme val="minor"/>
      </rPr>
      <t xml:space="preserve"> ~6.7 years</t>
    </r>
  </si>
  <si>
    <r>
      <t>Gross National Income (GNI) per Capita:</t>
    </r>
    <r>
      <rPr>
        <sz val="11"/>
        <color theme="1"/>
        <rFont val="Calibri"/>
        <family val="2"/>
        <scheme val="minor"/>
      </rPr>
      <t xml:space="preserve"> ~$6,590 (2017 PPP $)</t>
    </r>
  </si>
  <si>
    <r>
      <t>Change from 2020 Rank:</t>
    </r>
    <r>
      <rPr>
        <sz val="11"/>
        <color theme="1"/>
        <rFont val="Calibri"/>
        <family val="2"/>
        <scheme val="minor"/>
      </rPr>
      <t xml:space="preserve"> slipped from 130 → 132</t>
    </r>
  </si>
  <si>
    <r>
      <t>GNI Rank vs HDI Rank Difference:</t>
    </r>
    <r>
      <rPr>
        <sz val="11"/>
        <color theme="1"/>
        <rFont val="Calibri"/>
        <family val="2"/>
        <scheme val="minor"/>
      </rPr>
      <t xml:space="preserve"> -6 (GNI lower relative to HDI)</t>
    </r>
  </si>
  <si>
    <r>
      <rPr>
        <b/>
        <u/>
        <sz val="11"/>
        <color rgb="FF000000"/>
        <rFont val="Calibri"/>
        <scheme val="minor"/>
      </rPr>
      <t xml:space="preserve">Summary
</t>
    </r>
    <r>
      <rPr>
        <b/>
        <sz val="11"/>
        <color rgb="FF000000"/>
        <rFont val="Calibri"/>
        <scheme val="minor"/>
      </rPr>
      <t xml:space="preserve">-Analyzed India’s Human Development Index (HDI) for 2021 using data from the UNDP HDI report.
-Cleaned and restructured the raw dataset to make it analysis-ready in Excel.
-Examined key indicators: HDI value, global rank, life expectancy, education metrics, and GNI per capita.
-Used Excel analysis to compare health, education, and income outcomes.
-Identified gaps between economic performance and human development, explaining India’s HDI position.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</si>
</sst>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10">
    <font>
      <sz val="11"/>
      <color theme="1"/>
      <name val="Calibri"/>
      <family val="2"/>
      <scheme val="minor"/>
    </font>
    <font>
      <sz val="10"/>
      <name val="Arial"/>
      <family val="2"/>
    </font>
    <font>
      <sz val="9"/>
      <name val="Tahoma"/>
      <family val="2"/>
    </font>
    <font>
      <b/>
      <sz val="9"/>
      <name val="Tahoma"/>
      <family val="2"/>
    </font>
    <font>
      <vertAlign val="superscript"/>
      <sz val="9"/>
      <name val="Tahoma"/>
      <family val="2"/>
    </font>
    <font>
      <sz val="26"/>
      <color theme="0"/>
      <name val="Rockwell"/>
      <family val="1"/>
    </font>
    <font>
      <b/>
      <sz val="11"/>
      <color theme="1"/>
      <name val="Calibri"/>
      <family val="2"/>
      <scheme val="minor"/>
    </font>
    <font>
      <i/>
      <sz val="11"/>
      <color theme="1"/>
      <name val="Calibri"/>
      <family val="2"/>
      <scheme val="minor"/>
    </font>
    <font>
      <b/>
      <u/>
      <sz val="11"/>
      <color rgb="FF000000"/>
      <name val="Calibri"/>
      <scheme val="minor"/>
    </font>
    <font>
      <b/>
      <sz val="11"/>
      <color rgb="FF000000"/>
      <name val="Calibri"/>
      <scheme val="minor"/>
    </font>
  </fonts>
  <fills count="4">
    <fill>
      <patternFill patternType="none"/>
    </fill>
    <fill>
      <patternFill patternType="gray125"/>
    </fill>
    <fill>
      <patternFill patternType="solid">
        <fgColor theme="2" tint="-0.749992370372631"/>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0" fontId="1" fillId="0" borderId="0" applyNumberFormat="0" applyFont="0" applyFill="0" applyBorder="0" applyAlignment="0" applyProtection="0"/>
  </cellStyleXfs>
  <cellXfs count="39">
    <xf numFmtId="0" fontId="0" fillId="0" borderId="0" xfId="0"/>
    <xf numFmtId="0" fontId="2" fillId="0" borderId="0" xfId="1" applyNumberFormat="1" applyFont="1" applyFill="1" applyBorder="1" applyAlignment="1">
      <alignment horizontal="center" vertical="center" wrapText="1"/>
    </xf>
    <xf numFmtId="0" fontId="3" fillId="0" borderId="0" xfId="1" applyNumberFormat="1" applyFont="1" applyFill="1" applyBorder="1" applyAlignment="1">
      <alignment horizontal="left" vertical="center"/>
    </xf>
    <xf numFmtId="0" fontId="3" fillId="0" borderId="0" xfId="1" applyNumberFormat="1" applyFont="1" applyFill="1" applyBorder="1" applyAlignment="1">
      <alignment vertical="center"/>
    </xf>
    <xf numFmtId="0" fontId="3" fillId="0" borderId="0" xfId="0" applyFont="1" applyAlignment="1">
      <alignment horizontal="center" vertical="center" wrapText="1"/>
    </xf>
    <xf numFmtId="0" fontId="2" fillId="0" borderId="0" xfId="0" applyFont="1"/>
    <xf numFmtId="0" fontId="2" fillId="0" borderId="0" xfId="0" applyFont="1" applyAlignment="1">
      <alignment horizontal="center" vertical="center"/>
    </xf>
    <xf numFmtId="0" fontId="3"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vertical="center"/>
    </xf>
    <xf numFmtId="0" fontId="2" fillId="0" borderId="0" xfId="0" applyFont="1" applyAlignment="1">
      <alignment horizontal="left"/>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166" fontId="2" fillId="0" borderId="0" xfId="0" applyNumberFormat="1" applyFont="1" applyAlignment="1">
      <alignment horizontal="left" vertical="center"/>
    </xf>
    <xf numFmtId="0" fontId="4" fillId="0" borderId="0" xfId="0" applyFont="1" applyAlignment="1">
      <alignment horizontal="left" vertical="center"/>
    </xf>
    <xf numFmtId="0" fontId="3" fillId="0" borderId="0" xfId="0" applyFont="1" applyAlignment="1">
      <alignment vertical="center"/>
    </xf>
    <xf numFmtId="166" fontId="0" fillId="0" borderId="0" xfId="0" applyNumberFormat="1"/>
    <xf numFmtId="0" fontId="0" fillId="0" borderId="0" xfId="0" pivotButton="1"/>
    <xf numFmtId="165" fontId="0" fillId="0" borderId="0" xfId="0" applyNumberFormat="1"/>
    <xf numFmtId="49" fontId="2" fillId="0" borderId="0" xfId="0" applyNumberFormat="1" applyFont="1" applyAlignment="1">
      <alignment vertical="center"/>
    </xf>
    <xf numFmtId="49" fontId="3" fillId="0" borderId="0" xfId="0" applyNumberFormat="1" applyFont="1" applyAlignment="1">
      <alignment horizontal="left" vertical="center"/>
    </xf>
    <xf numFmtId="49" fontId="2" fillId="0" borderId="0" xfId="0" applyNumberFormat="1" applyFont="1" applyAlignment="1">
      <alignment horizontal="left" vertical="center"/>
    </xf>
    <xf numFmtId="49" fontId="2" fillId="0" borderId="0" xfId="0" applyNumberFormat="1" applyFont="1"/>
    <xf numFmtId="164" fontId="0" fillId="0" borderId="0" xfId="0" applyNumberFormat="1"/>
    <xf numFmtId="0" fontId="0" fillId="0" borderId="0" xfId="0" applyAlignment="1">
      <alignment horizontal="left"/>
    </xf>
    <xf numFmtId="0" fontId="2" fillId="0" borderId="0" xfId="0" applyFont="1" applyAlignment="1">
      <alignment vertical="center"/>
    </xf>
    <xf numFmtId="0" fontId="3" fillId="0" borderId="0" xfId="0" applyFont="1" applyAlignment="1">
      <alignment horizontal="left" vertical="center"/>
    </xf>
    <xf numFmtId="0" fontId="0" fillId="0" borderId="0" xfId="0" applyAlignment="1">
      <alignment horizontal="left" vertical="center" indent="1"/>
    </xf>
    <xf numFmtId="0" fontId="6" fillId="0" borderId="0" xfId="0" applyFont="1" applyAlignment="1">
      <alignment horizontal="left" vertical="center" indent="1"/>
    </xf>
    <xf numFmtId="0" fontId="2" fillId="0" borderId="0" xfId="0" applyFont="1" applyAlignment="1">
      <alignment vertical="center" wrapText="1"/>
    </xf>
    <xf numFmtId="0" fontId="3" fillId="0" borderId="0" xfId="0" applyFont="1" applyAlignment="1">
      <alignment horizontal="left" vertical="center"/>
    </xf>
    <xf numFmtId="0" fontId="2" fillId="0" borderId="0" xfId="0" applyFont="1" applyAlignment="1">
      <alignment vertical="center"/>
    </xf>
    <xf numFmtId="0" fontId="5" fillId="2" borderId="0" xfId="0" applyFont="1" applyFill="1" applyAlignment="1">
      <alignment horizontal="center" vertical="center"/>
    </xf>
    <xf numFmtId="0" fontId="9" fillId="0" borderId="0" xfId="0" applyFont="1" applyAlignment="1">
      <alignment vertical="top" wrapText="1"/>
    </xf>
    <xf numFmtId="0" fontId="8" fillId="0" borderId="0" xfId="0" applyFont="1" applyAlignment="1">
      <alignment vertical="top"/>
    </xf>
    <xf numFmtId="0" fontId="8" fillId="0" borderId="0" xfId="0" applyFont="1" applyAlignment="1">
      <alignment vertical="top" wrapText="1"/>
    </xf>
    <xf numFmtId="0" fontId="8" fillId="3" borderId="0" xfId="0" applyFont="1" applyFill="1" applyAlignment="1">
      <alignment vertical="top" wrapText="1"/>
    </xf>
  </cellXfs>
  <cellStyles count="2">
    <cellStyle name="Normal" xfId="0" builtinId="0"/>
    <cellStyle name="Normal 2" xfId="1" xr:uid="{77234805-22C6-499B-9E4D-AE9F757561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Development Index and its components(AutoRecovered) (Recovered) 1.xlsx]Pivot Table!PivotTable3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HDI vs Life expectancy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9"/>
            <c:invertIfNegative val="0"/>
            <c:bubble3D val="0"/>
            <c:extLst>
              <c:ext xmlns:c16="http://schemas.microsoft.com/office/drawing/2014/chart" uri="{C3380CC4-5D6E-409C-BE32-E72D297353CC}">
                <c16:uniqueId val="{00000054-DC40-471E-A249-5700A3A0AD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Table'!$A$4:$B$14</c:f>
              <c:multiLvlStrCache>
                <c:ptCount val="11"/>
                <c:lvl>
                  <c:pt idx="0">
                    <c:v>85.5</c:v>
                  </c:pt>
                  <c:pt idx="1">
                    <c:v>84.8</c:v>
                  </c:pt>
                  <c:pt idx="2">
                    <c:v>77.2</c:v>
                  </c:pt>
                  <c:pt idx="3">
                    <c:v>76.5</c:v>
                  </c:pt>
                  <c:pt idx="4">
                    <c:v>78.2</c:v>
                  </c:pt>
                  <c:pt idx="5">
                    <c:v>62.3</c:v>
                  </c:pt>
                  <c:pt idx="6">
                    <c:v>73.6</c:v>
                  </c:pt>
                  <c:pt idx="7">
                    <c:v>72.4</c:v>
                  </c:pt>
                  <c:pt idx="8">
                    <c:v>67.2</c:v>
                  </c:pt>
                  <c:pt idx="9">
                    <c:v>66.1</c:v>
                  </c:pt>
                  <c:pt idx="10">
                    <c:v>63.8</c:v>
                  </c:pt>
                </c:lvl>
                <c:lvl>
                  <c:pt idx="0">
                    <c:v>Hong Kong, China (SAR)</c:v>
                  </c:pt>
                  <c:pt idx="1">
                    <c:v>Japan</c:v>
                  </c:pt>
                  <c:pt idx="2">
                    <c:v>United States</c:v>
                  </c:pt>
                  <c:pt idx="3">
                    <c:v>Poland</c:v>
                  </c:pt>
                  <c:pt idx="4">
                    <c:v>China</c:v>
                  </c:pt>
                  <c:pt idx="5">
                    <c:v>South Africa</c:v>
                  </c:pt>
                  <c:pt idx="6">
                    <c:v>Viet Nam</c:v>
                  </c:pt>
                  <c:pt idx="7">
                    <c:v>Bangladesh</c:v>
                  </c:pt>
                  <c:pt idx="8">
                    <c:v>India</c:v>
                  </c:pt>
                  <c:pt idx="9">
                    <c:v>Pakistan</c:v>
                  </c:pt>
                  <c:pt idx="10">
                    <c:v>Yemen</c:v>
                  </c:pt>
                </c:lvl>
              </c:multiLvlStrCache>
            </c:multiLvlStrRef>
          </c:cat>
          <c:val>
            <c:numRef>
              <c:f>'Pivot Table'!$C$4:$C$14</c:f>
              <c:numCache>
                <c:formatCode>#,###,##0.000</c:formatCode>
                <c:ptCount val="11"/>
                <c:pt idx="0">
                  <c:v>0.95199999999999996</c:v>
                </c:pt>
                <c:pt idx="1">
                  <c:v>0.92500000000000004</c:v>
                </c:pt>
                <c:pt idx="2">
                  <c:v>0.92100000000000004</c:v>
                </c:pt>
                <c:pt idx="3">
                  <c:v>0.876</c:v>
                </c:pt>
                <c:pt idx="4">
                  <c:v>0.76800000000000002</c:v>
                </c:pt>
                <c:pt idx="5">
                  <c:v>0.71299999999999997</c:v>
                </c:pt>
                <c:pt idx="6">
                  <c:v>0.70299999999999996</c:v>
                </c:pt>
                <c:pt idx="7">
                  <c:v>0.66100000000000003</c:v>
                </c:pt>
                <c:pt idx="8">
                  <c:v>0.63300000000000001</c:v>
                </c:pt>
                <c:pt idx="9">
                  <c:v>0.54400000000000004</c:v>
                </c:pt>
                <c:pt idx="10">
                  <c:v>0.45500000000000002</c:v>
                </c:pt>
              </c:numCache>
            </c:numRef>
          </c:val>
          <c:extLst>
            <c:ext xmlns:c16="http://schemas.microsoft.com/office/drawing/2014/chart" uri="{C3380CC4-5D6E-409C-BE32-E72D297353CC}">
              <c16:uniqueId val="{00000000-DC40-471E-A249-5700A3A0AD9D}"/>
            </c:ext>
          </c:extLst>
        </c:ser>
        <c:dLbls>
          <c:dLblPos val="ctr"/>
          <c:showLegendKey val="0"/>
          <c:showVal val="1"/>
          <c:showCatName val="0"/>
          <c:showSerName val="0"/>
          <c:showPercent val="0"/>
          <c:showBubbleSize val="0"/>
        </c:dLbls>
        <c:gapWidth val="150"/>
        <c:overlap val="100"/>
        <c:axId val="344784880"/>
        <c:axId val="344785360"/>
      </c:barChart>
      <c:catAx>
        <c:axId val="34478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4785360"/>
        <c:crosses val="autoZero"/>
        <c:auto val="1"/>
        <c:lblAlgn val="ctr"/>
        <c:lblOffset val="100"/>
        <c:noMultiLvlLbl val="0"/>
      </c:catAx>
      <c:valAx>
        <c:axId val="344785360"/>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478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Development Index and its components(AutoRecovered) (Recovered) 1.xlsx]Pivot Table!PivotTable2</c:name>
    <c:fmtId val="4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Years</a:t>
            </a:r>
            <a:r>
              <a:rPr lang="en-IN" baseline="0"/>
              <a:t> of Schooling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Expected years of schooling (kids)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Table'!$A$36:$A$46</c:f>
              <c:strCache>
                <c:ptCount val="11"/>
                <c:pt idx="0">
                  <c:v>Hong Kong, China (SAR)</c:v>
                </c:pt>
                <c:pt idx="1">
                  <c:v>United States</c:v>
                </c:pt>
                <c:pt idx="2">
                  <c:v>Poland</c:v>
                </c:pt>
                <c:pt idx="3">
                  <c:v>Japan</c:v>
                </c:pt>
                <c:pt idx="4">
                  <c:v>China</c:v>
                </c:pt>
                <c:pt idx="5">
                  <c:v>South Africa</c:v>
                </c:pt>
                <c:pt idx="6">
                  <c:v>Viet Nam</c:v>
                </c:pt>
                <c:pt idx="7">
                  <c:v>Bangladesh</c:v>
                </c:pt>
                <c:pt idx="8">
                  <c:v>India</c:v>
                </c:pt>
                <c:pt idx="9">
                  <c:v>Yemen</c:v>
                </c:pt>
                <c:pt idx="10">
                  <c:v>Pakistan</c:v>
                </c:pt>
              </c:strCache>
            </c:strRef>
          </c:cat>
          <c:val>
            <c:numRef>
              <c:f>'Pivot Table'!$B$36:$B$46</c:f>
              <c:numCache>
                <c:formatCode>#,###,##0.0</c:formatCode>
                <c:ptCount val="11"/>
                <c:pt idx="0">
                  <c:v>17.278169630000001</c:v>
                </c:pt>
                <c:pt idx="1">
                  <c:v>16.280979160000001</c:v>
                </c:pt>
                <c:pt idx="2">
                  <c:v>16.0271492</c:v>
                </c:pt>
                <c:pt idx="3">
                  <c:v>15.221625879999999</c:v>
                </c:pt>
                <c:pt idx="4">
                  <c:v>14.2361149</c:v>
                </c:pt>
                <c:pt idx="5">
                  <c:v>13.64371014</c:v>
                </c:pt>
                <c:pt idx="6">
                  <c:v>12.9519325</c:v>
                </c:pt>
                <c:pt idx="7">
                  <c:v>12.441980360000001</c:v>
                </c:pt>
                <c:pt idx="8">
                  <c:v>11.874620439999999</c:v>
                </c:pt>
                <c:pt idx="9">
                  <c:v>9.0987100600000002</c:v>
                </c:pt>
                <c:pt idx="10">
                  <c:v>8.6583499909999997</c:v>
                </c:pt>
              </c:numCache>
            </c:numRef>
          </c:val>
          <c:extLst>
            <c:ext xmlns:c16="http://schemas.microsoft.com/office/drawing/2014/chart" uri="{C3380CC4-5D6E-409C-BE32-E72D297353CC}">
              <c16:uniqueId val="{00000000-FECF-43BB-91AC-A217F16DF7F3}"/>
            </c:ext>
          </c:extLst>
        </c:ser>
        <c:ser>
          <c:idx val="1"/>
          <c:order val="1"/>
          <c:tx>
            <c:strRef>
              <c:f>'Pivot Table'!$C$35</c:f>
              <c:strCache>
                <c:ptCount val="1"/>
                <c:pt idx="0">
                  <c:v>Mean years of schooling(adults)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Table'!$A$36:$A$46</c:f>
              <c:strCache>
                <c:ptCount val="11"/>
                <c:pt idx="0">
                  <c:v>Hong Kong, China (SAR)</c:v>
                </c:pt>
                <c:pt idx="1">
                  <c:v>United States</c:v>
                </c:pt>
                <c:pt idx="2">
                  <c:v>Poland</c:v>
                </c:pt>
                <c:pt idx="3">
                  <c:v>Japan</c:v>
                </c:pt>
                <c:pt idx="4">
                  <c:v>China</c:v>
                </c:pt>
                <c:pt idx="5">
                  <c:v>South Africa</c:v>
                </c:pt>
                <c:pt idx="6">
                  <c:v>Viet Nam</c:v>
                </c:pt>
                <c:pt idx="7">
                  <c:v>Bangladesh</c:v>
                </c:pt>
                <c:pt idx="8">
                  <c:v>India</c:v>
                </c:pt>
                <c:pt idx="9">
                  <c:v>Yemen</c:v>
                </c:pt>
                <c:pt idx="10">
                  <c:v>Pakistan</c:v>
                </c:pt>
              </c:strCache>
            </c:strRef>
          </c:cat>
          <c:val>
            <c:numRef>
              <c:f>'Pivot Table'!$C$36:$C$46</c:f>
              <c:numCache>
                <c:formatCode>#,###,##0.0</c:formatCode>
                <c:ptCount val="11"/>
                <c:pt idx="0">
                  <c:v>12.22620964</c:v>
                </c:pt>
                <c:pt idx="1">
                  <c:v>13.683429719999999</c:v>
                </c:pt>
                <c:pt idx="2">
                  <c:v>13.164750099999999</c:v>
                </c:pt>
                <c:pt idx="3">
                  <c:v>13.366100339999999</c:v>
                </c:pt>
                <c:pt idx="4">
                  <c:v>7.6001184459999998</c:v>
                </c:pt>
                <c:pt idx="5">
                  <c:v>11.37316036</c:v>
                </c:pt>
                <c:pt idx="6">
                  <c:v>8.370280266</c:v>
                </c:pt>
                <c:pt idx="7">
                  <c:v>7.3790597919999996</c:v>
                </c:pt>
                <c:pt idx="8">
                  <c:v>6.6551091949999996</c:v>
                </c:pt>
                <c:pt idx="9">
                  <c:v>3.2</c:v>
                </c:pt>
                <c:pt idx="10">
                  <c:v>4.5363302230000002</c:v>
                </c:pt>
              </c:numCache>
            </c:numRef>
          </c:val>
          <c:extLst>
            <c:ext xmlns:c16="http://schemas.microsoft.com/office/drawing/2014/chart" uri="{C3380CC4-5D6E-409C-BE32-E72D297353CC}">
              <c16:uniqueId val="{00000001-FECF-43BB-91AC-A217F16DF7F3}"/>
            </c:ext>
          </c:extLst>
        </c:ser>
        <c:dLbls>
          <c:dLblPos val="outEnd"/>
          <c:showLegendKey val="0"/>
          <c:showVal val="1"/>
          <c:showCatName val="0"/>
          <c:showSerName val="0"/>
          <c:showPercent val="0"/>
          <c:showBubbleSize val="0"/>
        </c:dLbls>
        <c:gapWidth val="100"/>
        <c:overlap val="-24"/>
        <c:axId val="576764416"/>
        <c:axId val="576762976"/>
      </c:barChart>
      <c:catAx>
        <c:axId val="576764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762976"/>
        <c:crosses val="autoZero"/>
        <c:auto val="1"/>
        <c:lblAlgn val="ctr"/>
        <c:lblOffset val="100"/>
        <c:noMultiLvlLbl val="0"/>
      </c:catAx>
      <c:valAx>
        <c:axId val="57676297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76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Development Index and its components(AutoRecovered) (Recovered) 1.xlsx]Pivot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Difference Between GNI per Capita Rank and HDI Rank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Table'!$C$70</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'Pivot Table'!$A$71:$B$93</c:f>
              <c:multiLvlStrCache>
                <c:ptCount val="11"/>
                <c:lvl>
                  <c:pt idx="0">
                    <c:v>VERY HIGH HUMAN DEVELOPMENT</c:v>
                  </c:pt>
                  <c:pt idx="1">
                    <c:v>VERY HIGH HUMAN DEVELOPMENT</c:v>
                  </c:pt>
                  <c:pt idx="2">
                    <c:v>HIGH HUMAN DEVELOPMENT</c:v>
                  </c:pt>
                  <c:pt idx="3">
                    <c:v>VERY HIGH HUMAN DEVELOPMENT</c:v>
                  </c:pt>
                  <c:pt idx="4">
                    <c:v>MEDIUM HUMAN DEVELOPMENT</c:v>
                  </c:pt>
                  <c:pt idx="5">
                    <c:v>LOW HUMAN DEVELOPMENT</c:v>
                  </c:pt>
                  <c:pt idx="6">
                    <c:v>LOW HUMAN DEVELOPMENT</c:v>
                  </c:pt>
                  <c:pt idx="7">
                    <c:v>HIGH HUMAN DEVELOPMENT</c:v>
                  </c:pt>
                  <c:pt idx="8">
                    <c:v>VERY HIGH HUMAN DEVELOPMENT</c:v>
                  </c:pt>
                  <c:pt idx="9">
                    <c:v>HIGH HUMAN DEVELOPMENT</c:v>
                  </c:pt>
                  <c:pt idx="10">
                    <c:v>LOW HUMAN DEVELOPMENT</c:v>
                  </c:pt>
                </c:lvl>
                <c:lvl>
                  <c:pt idx="0">
                    <c:v>Japan</c:v>
                  </c:pt>
                  <c:pt idx="1">
                    <c:v>Poland</c:v>
                  </c:pt>
                  <c:pt idx="2">
                    <c:v>Viet Nam</c:v>
                  </c:pt>
                  <c:pt idx="3">
                    <c:v>Hong Kong, China (SAR)</c:v>
                  </c:pt>
                  <c:pt idx="4">
                    <c:v>Bangladesh</c:v>
                  </c:pt>
                  <c:pt idx="5">
                    <c:v>Yemen</c:v>
                  </c:pt>
                  <c:pt idx="6">
                    <c:v>South Sudan</c:v>
                  </c:pt>
                  <c:pt idx="7">
                    <c:v>China</c:v>
                  </c:pt>
                  <c:pt idx="8">
                    <c:v>United States</c:v>
                  </c:pt>
                  <c:pt idx="9">
                    <c:v>South Africa</c:v>
                  </c:pt>
                  <c:pt idx="10">
                    <c:v>Pakistan</c:v>
                  </c:pt>
                </c:lvl>
              </c:multiLvlStrCache>
            </c:multiLvlStrRef>
          </c:cat>
          <c:val>
            <c:numRef>
              <c:f>'Pivot Table'!$C$71:$C$93</c:f>
              <c:numCache>
                <c:formatCode>#,###,##0</c:formatCode>
                <c:ptCount val="11"/>
                <c:pt idx="0">
                  <c:v>12</c:v>
                </c:pt>
                <c:pt idx="1">
                  <c:v>8</c:v>
                </c:pt>
                <c:pt idx="2">
                  <c:v>6</c:v>
                </c:pt>
                <c:pt idx="3">
                  <c:v>6</c:v>
                </c:pt>
                <c:pt idx="4">
                  <c:v>4</c:v>
                </c:pt>
                <c:pt idx="5">
                  <c:v>1</c:v>
                </c:pt>
                <c:pt idx="6">
                  <c:v>-1</c:v>
                </c:pt>
                <c:pt idx="7">
                  <c:v>-8</c:v>
                </c:pt>
                <c:pt idx="8">
                  <c:v>-14</c:v>
                </c:pt>
                <c:pt idx="9">
                  <c:v>-17</c:v>
                </c:pt>
                <c:pt idx="10">
                  <c:v>-19</c:v>
                </c:pt>
              </c:numCache>
            </c:numRef>
          </c:val>
          <c:extLst>
            <c:ext xmlns:c16="http://schemas.microsoft.com/office/drawing/2014/chart" uri="{C3380CC4-5D6E-409C-BE32-E72D297353CC}">
              <c16:uniqueId val="{00000001-D4BE-4593-8005-66FA027734A0}"/>
            </c:ext>
          </c:extLst>
        </c:ser>
        <c:dLbls>
          <c:showLegendKey val="0"/>
          <c:showVal val="0"/>
          <c:showCatName val="0"/>
          <c:showSerName val="0"/>
          <c:showPercent val="0"/>
          <c:showBubbleSize val="0"/>
        </c:dLbls>
        <c:gapWidth val="150"/>
        <c:axId val="576771136"/>
        <c:axId val="576775936"/>
      </c:barChart>
      <c:catAx>
        <c:axId val="576771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75936"/>
        <c:crosses val="autoZero"/>
        <c:auto val="1"/>
        <c:lblAlgn val="ctr"/>
        <c:lblOffset val="100"/>
        <c:noMultiLvlLbl val="0"/>
      </c:catAx>
      <c:valAx>
        <c:axId val="57677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GNI/cpaita  -</a:t>
                </a:r>
                <a:r>
                  <a:rPr lang="en-IN" baseline="0"/>
                  <a:t> HDI rank</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71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Development Index and its components(AutoRecovered) (Recovered) 1.xlsx]Pivot Table!PivotTable2</c:name>
    <c:fmtId val="4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Years of Schooling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1844624061273"/>
          <c:y val="0.2229145061728395"/>
          <c:w val="0.83861369702286115"/>
          <c:h val="0.38182932098765432"/>
        </c:manualLayout>
      </c:layout>
      <c:barChart>
        <c:barDir val="col"/>
        <c:grouping val="clustered"/>
        <c:varyColors val="0"/>
        <c:ser>
          <c:idx val="0"/>
          <c:order val="0"/>
          <c:tx>
            <c:strRef>
              <c:f>'Pivot Table'!$B$35</c:f>
              <c:strCache>
                <c:ptCount val="1"/>
                <c:pt idx="0">
                  <c:v>Expected years of schooling (kids)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Table'!$A$36:$A$46</c:f>
              <c:strCache>
                <c:ptCount val="11"/>
                <c:pt idx="0">
                  <c:v>Hong Kong, China (SAR)</c:v>
                </c:pt>
                <c:pt idx="1">
                  <c:v>United States</c:v>
                </c:pt>
                <c:pt idx="2">
                  <c:v>Poland</c:v>
                </c:pt>
                <c:pt idx="3">
                  <c:v>Japan</c:v>
                </c:pt>
                <c:pt idx="4">
                  <c:v>China</c:v>
                </c:pt>
                <c:pt idx="5">
                  <c:v>South Africa</c:v>
                </c:pt>
                <c:pt idx="6">
                  <c:v>Viet Nam</c:v>
                </c:pt>
                <c:pt idx="7">
                  <c:v>Bangladesh</c:v>
                </c:pt>
                <c:pt idx="8">
                  <c:v>India</c:v>
                </c:pt>
                <c:pt idx="9">
                  <c:v>Yemen</c:v>
                </c:pt>
                <c:pt idx="10">
                  <c:v>Pakistan</c:v>
                </c:pt>
              </c:strCache>
            </c:strRef>
          </c:cat>
          <c:val>
            <c:numRef>
              <c:f>'Pivot Table'!$B$36:$B$46</c:f>
              <c:numCache>
                <c:formatCode>#,###,##0.0</c:formatCode>
                <c:ptCount val="11"/>
                <c:pt idx="0">
                  <c:v>17.278169630000001</c:v>
                </c:pt>
                <c:pt idx="1">
                  <c:v>16.280979160000001</c:v>
                </c:pt>
                <c:pt idx="2">
                  <c:v>16.0271492</c:v>
                </c:pt>
                <c:pt idx="3">
                  <c:v>15.221625879999999</c:v>
                </c:pt>
                <c:pt idx="4">
                  <c:v>14.2361149</c:v>
                </c:pt>
                <c:pt idx="5">
                  <c:v>13.64371014</c:v>
                </c:pt>
                <c:pt idx="6">
                  <c:v>12.9519325</c:v>
                </c:pt>
                <c:pt idx="7">
                  <c:v>12.441980360000001</c:v>
                </c:pt>
                <c:pt idx="8">
                  <c:v>11.874620439999999</c:v>
                </c:pt>
                <c:pt idx="9">
                  <c:v>9.0987100600000002</c:v>
                </c:pt>
                <c:pt idx="10">
                  <c:v>8.6583499909999997</c:v>
                </c:pt>
              </c:numCache>
            </c:numRef>
          </c:val>
          <c:extLst>
            <c:ext xmlns:c16="http://schemas.microsoft.com/office/drawing/2014/chart" uri="{C3380CC4-5D6E-409C-BE32-E72D297353CC}">
              <c16:uniqueId val="{00000000-AAF1-41BA-9D05-BA4BF6DD9576}"/>
            </c:ext>
          </c:extLst>
        </c:ser>
        <c:ser>
          <c:idx val="1"/>
          <c:order val="1"/>
          <c:tx>
            <c:strRef>
              <c:f>'Pivot Table'!$C$35</c:f>
              <c:strCache>
                <c:ptCount val="1"/>
                <c:pt idx="0">
                  <c:v>Mean years of schooling(adults)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Table'!$A$36:$A$46</c:f>
              <c:strCache>
                <c:ptCount val="11"/>
                <c:pt idx="0">
                  <c:v>Hong Kong, China (SAR)</c:v>
                </c:pt>
                <c:pt idx="1">
                  <c:v>United States</c:v>
                </c:pt>
                <c:pt idx="2">
                  <c:v>Poland</c:v>
                </c:pt>
                <c:pt idx="3">
                  <c:v>Japan</c:v>
                </c:pt>
                <c:pt idx="4">
                  <c:v>China</c:v>
                </c:pt>
                <c:pt idx="5">
                  <c:v>South Africa</c:v>
                </c:pt>
                <c:pt idx="6">
                  <c:v>Viet Nam</c:v>
                </c:pt>
                <c:pt idx="7">
                  <c:v>Bangladesh</c:v>
                </c:pt>
                <c:pt idx="8">
                  <c:v>India</c:v>
                </c:pt>
                <c:pt idx="9">
                  <c:v>Yemen</c:v>
                </c:pt>
                <c:pt idx="10">
                  <c:v>Pakistan</c:v>
                </c:pt>
              </c:strCache>
            </c:strRef>
          </c:cat>
          <c:val>
            <c:numRef>
              <c:f>'Pivot Table'!$C$36:$C$46</c:f>
              <c:numCache>
                <c:formatCode>#,###,##0.0</c:formatCode>
                <c:ptCount val="11"/>
                <c:pt idx="0">
                  <c:v>12.22620964</c:v>
                </c:pt>
                <c:pt idx="1">
                  <c:v>13.683429719999999</c:v>
                </c:pt>
                <c:pt idx="2">
                  <c:v>13.164750099999999</c:v>
                </c:pt>
                <c:pt idx="3">
                  <c:v>13.366100339999999</c:v>
                </c:pt>
                <c:pt idx="4">
                  <c:v>7.6001184459999998</c:v>
                </c:pt>
                <c:pt idx="5">
                  <c:v>11.37316036</c:v>
                </c:pt>
                <c:pt idx="6">
                  <c:v>8.370280266</c:v>
                </c:pt>
                <c:pt idx="7">
                  <c:v>7.3790597919999996</c:v>
                </c:pt>
                <c:pt idx="8">
                  <c:v>6.6551091949999996</c:v>
                </c:pt>
                <c:pt idx="9">
                  <c:v>3.2</c:v>
                </c:pt>
                <c:pt idx="10">
                  <c:v>4.5363302230000002</c:v>
                </c:pt>
              </c:numCache>
            </c:numRef>
          </c:val>
          <c:extLst>
            <c:ext xmlns:c16="http://schemas.microsoft.com/office/drawing/2014/chart" uri="{C3380CC4-5D6E-409C-BE32-E72D297353CC}">
              <c16:uniqueId val="{00000001-AAF1-41BA-9D05-BA4BF6DD9576}"/>
            </c:ext>
          </c:extLst>
        </c:ser>
        <c:dLbls>
          <c:dLblPos val="outEnd"/>
          <c:showLegendKey val="0"/>
          <c:showVal val="1"/>
          <c:showCatName val="0"/>
          <c:showSerName val="0"/>
          <c:showPercent val="0"/>
          <c:showBubbleSize val="0"/>
        </c:dLbls>
        <c:gapWidth val="100"/>
        <c:overlap val="-24"/>
        <c:axId val="576764416"/>
        <c:axId val="576762976"/>
      </c:barChart>
      <c:catAx>
        <c:axId val="57676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76762976"/>
        <c:crosses val="autoZero"/>
        <c:auto val="1"/>
        <c:lblAlgn val="ctr"/>
        <c:lblOffset val="100"/>
        <c:noMultiLvlLbl val="0"/>
      </c:catAx>
      <c:valAx>
        <c:axId val="576762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76764416"/>
        <c:crosses val="autoZero"/>
        <c:crossBetween val="between"/>
      </c:valAx>
      <c:spPr>
        <a:noFill/>
        <a:ln>
          <a:noFill/>
        </a:ln>
        <a:effectLst/>
      </c:spPr>
    </c:plotArea>
    <c:legend>
      <c:legendPos val="r"/>
      <c:layout>
        <c:manualLayout>
          <c:xMode val="edge"/>
          <c:yMode val="edge"/>
          <c:x val="0.39760972901697955"/>
          <c:y val="0.77896576815899299"/>
          <c:w val="0.50288406400586594"/>
          <c:h val="0.18730796559769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Development Index and its components(AutoRecovered) (Recovered) 1.xlsx]Pivot Table!PivotTable3</c:name>
    <c:fmtId val="4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HDI vs Life expectancy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87053976661659E-2"/>
          <c:y val="0.12159746532205093"/>
          <c:w val="0.90391381307583318"/>
          <c:h val="0.60095235887330478"/>
        </c:manualLayout>
      </c:layout>
      <c:barChart>
        <c:barDir val="col"/>
        <c:grouping val="stacked"/>
        <c:varyColors val="0"/>
        <c:ser>
          <c:idx val="0"/>
          <c:order val="0"/>
          <c:tx>
            <c:strRef>
              <c:f>'Pivot Table'!$C$3</c:f>
              <c:strCache>
                <c:ptCount val="1"/>
                <c:pt idx="0">
                  <c:v>Total</c:v>
                </c:pt>
              </c:strCache>
            </c:strRef>
          </c:tx>
          <c:spPr>
            <a:solidFill>
              <a:schemeClr val="accent1">
                <a:alpha val="70000"/>
              </a:schemeClr>
            </a:solidFill>
            <a:ln>
              <a:noFill/>
            </a:ln>
            <a:effectLst/>
          </c:spPr>
          <c:invertIfNegative val="0"/>
          <c:dPt>
            <c:idx val="9"/>
            <c:invertIfNegative val="0"/>
            <c:bubble3D val="0"/>
            <c:extLst>
              <c:ext xmlns:c16="http://schemas.microsoft.com/office/drawing/2014/chart" uri="{C3380CC4-5D6E-409C-BE32-E72D297353CC}">
                <c16:uniqueId val="{00000000-0CA1-459B-AA52-222A986D6B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Table'!$A$4:$B$14</c:f>
              <c:multiLvlStrCache>
                <c:ptCount val="11"/>
                <c:lvl>
                  <c:pt idx="0">
                    <c:v>85.5</c:v>
                  </c:pt>
                  <c:pt idx="1">
                    <c:v>84.8</c:v>
                  </c:pt>
                  <c:pt idx="2">
                    <c:v>77.2</c:v>
                  </c:pt>
                  <c:pt idx="3">
                    <c:v>76.5</c:v>
                  </c:pt>
                  <c:pt idx="4">
                    <c:v>78.2</c:v>
                  </c:pt>
                  <c:pt idx="5">
                    <c:v>62.3</c:v>
                  </c:pt>
                  <c:pt idx="6">
                    <c:v>73.6</c:v>
                  </c:pt>
                  <c:pt idx="7">
                    <c:v>72.4</c:v>
                  </c:pt>
                  <c:pt idx="8">
                    <c:v>67.2</c:v>
                  </c:pt>
                  <c:pt idx="9">
                    <c:v>66.1</c:v>
                  </c:pt>
                  <c:pt idx="10">
                    <c:v>63.8</c:v>
                  </c:pt>
                </c:lvl>
                <c:lvl>
                  <c:pt idx="0">
                    <c:v>Hong Kong, China (SAR)</c:v>
                  </c:pt>
                  <c:pt idx="1">
                    <c:v>Japan</c:v>
                  </c:pt>
                  <c:pt idx="2">
                    <c:v>United States</c:v>
                  </c:pt>
                  <c:pt idx="3">
                    <c:v>Poland</c:v>
                  </c:pt>
                  <c:pt idx="4">
                    <c:v>China</c:v>
                  </c:pt>
                  <c:pt idx="5">
                    <c:v>South Africa</c:v>
                  </c:pt>
                  <c:pt idx="6">
                    <c:v>Viet Nam</c:v>
                  </c:pt>
                  <c:pt idx="7">
                    <c:v>Bangladesh</c:v>
                  </c:pt>
                  <c:pt idx="8">
                    <c:v>India</c:v>
                  </c:pt>
                  <c:pt idx="9">
                    <c:v>Pakistan</c:v>
                  </c:pt>
                  <c:pt idx="10">
                    <c:v>Yemen</c:v>
                  </c:pt>
                </c:lvl>
              </c:multiLvlStrCache>
            </c:multiLvlStrRef>
          </c:cat>
          <c:val>
            <c:numRef>
              <c:f>'Pivot Table'!$C$4:$C$14</c:f>
              <c:numCache>
                <c:formatCode>#,###,##0.000</c:formatCode>
                <c:ptCount val="11"/>
                <c:pt idx="0">
                  <c:v>0.95199999999999996</c:v>
                </c:pt>
                <c:pt idx="1">
                  <c:v>0.92500000000000004</c:v>
                </c:pt>
                <c:pt idx="2">
                  <c:v>0.92100000000000004</c:v>
                </c:pt>
                <c:pt idx="3">
                  <c:v>0.876</c:v>
                </c:pt>
                <c:pt idx="4">
                  <c:v>0.76800000000000002</c:v>
                </c:pt>
                <c:pt idx="5">
                  <c:v>0.71299999999999997</c:v>
                </c:pt>
                <c:pt idx="6">
                  <c:v>0.70299999999999996</c:v>
                </c:pt>
                <c:pt idx="7">
                  <c:v>0.66100000000000003</c:v>
                </c:pt>
                <c:pt idx="8">
                  <c:v>0.63300000000000001</c:v>
                </c:pt>
                <c:pt idx="9">
                  <c:v>0.54400000000000004</c:v>
                </c:pt>
                <c:pt idx="10">
                  <c:v>0.45500000000000002</c:v>
                </c:pt>
              </c:numCache>
            </c:numRef>
          </c:val>
          <c:extLst>
            <c:ext xmlns:c16="http://schemas.microsoft.com/office/drawing/2014/chart" uri="{C3380CC4-5D6E-409C-BE32-E72D297353CC}">
              <c16:uniqueId val="{00000001-0CA1-459B-AA52-222A986D6B63}"/>
            </c:ext>
          </c:extLst>
        </c:ser>
        <c:dLbls>
          <c:dLblPos val="ctr"/>
          <c:showLegendKey val="0"/>
          <c:showVal val="1"/>
          <c:showCatName val="0"/>
          <c:showSerName val="0"/>
          <c:showPercent val="0"/>
          <c:showBubbleSize val="0"/>
        </c:dLbls>
        <c:gapWidth val="50"/>
        <c:overlap val="100"/>
        <c:axId val="344784880"/>
        <c:axId val="344785360"/>
      </c:barChart>
      <c:catAx>
        <c:axId val="34478488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785360"/>
        <c:crosses val="autoZero"/>
        <c:auto val="1"/>
        <c:lblAlgn val="ctr"/>
        <c:lblOffset val="100"/>
        <c:noMultiLvlLbl val="0"/>
      </c:catAx>
      <c:valAx>
        <c:axId val="344785360"/>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78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[Human Development Index and its components(AutoRecovered) (Recovered) 1.xlsx]Pivot Table!PivotTable15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Difference Between GNI per Capita Rank and HDI Rank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Table'!$C$70</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'Pivot Table'!$A$71:$B$93</c:f>
              <c:multiLvlStrCache>
                <c:ptCount val="11"/>
                <c:lvl>
                  <c:pt idx="0">
                    <c:v>VERY HIGH HUMAN DEVELOPMENT</c:v>
                  </c:pt>
                  <c:pt idx="1">
                    <c:v>VERY HIGH HUMAN DEVELOPMENT</c:v>
                  </c:pt>
                  <c:pt idx="2">
                    <c:v>HIGH HUMAN DEVELOPMENT</c:v>
                  </c:pt>
                  <c:pt idx="3">
                    <c:v>VERY HIGH HUMAN DEVELOPMENT</c:v>
                  </c:pt>
                  <c:pt idx="4">
                    <c:v>MEDIUM HUMAN DEVELOPMENT</c:v>
                  </c:pt>
                  <c:pt idx="5">
                    <c:v>LOW HUMAN DEVELOPMENT</c:v>
                  </c:pt>
                  <c:pt idx="6">
                    <c:v>LOW HUMAN DEVELOPMENT</c:v>
                  </c:pt>
                  <c:pt idx="7">
                    <c:v>HIGH HUMAN DEVELOPMENT</c:v>
                  </c:pt>
                  <c:pt idx="8">
                    <c:v>VERY HIGH HUMAN DEVELOPMENT</c:v>
                  </c:pt>
                  <c:pt idx="9">
                    <c:v>HIGH HUMAN DEVELOPMENT</c:v>
                  </c:pt>
                  <c:pt idx="10">
                    <c:v>LOW HUMAN DEVELOPMENT</c:v>
                  </c:pt>
                </c:lvl>
                <c:lvl>
                  <c:pt idx="0">
                    <c:v>Japan</c:v>
                  </c:pt>
                  <c:pt idx="1">
                    <c:v>Poland</c:v>
                  </c:pt>
                  <c:pt idx="2">
                    <c:v>Viet Nam</c:v>
                  </c:pt>
                  <c:pt idx="3">
                    <c:v>Hong Kong, China (SAR)</c:v>
                  </c:pt>
                  <c:pt idx="4">
                    <c:v>Bangladesh</c:v>
                  </c:pt>
                  <c:pt idx="5">
                    <c:v>Yemen</c:v>
                  </c:pt>
                  <c:pt idx="6">
                    <c:v>South Sudan</c:v>
                  </c:pt>
                  <c:pt idx="7">
                    <c:v>China</c:v>
                  </c:pt>
                  <c:pt idx="8">
                    <c:v>United States</c:v>
                  </c:pt>
                  <c:pt idx="9">
                    <c:v>South Africa</c:v>
                  </c:pt>
                  <c:pt idx="10">
                    <c:v>Pakistan</c:v>
                  </c:pt>
                </c:lvl>
              </c:multiLvlStrCache>
            </c:multiLvlStrRef>
          </c:cat>
          <c:val>
            <c:numRef>
              <c:f>'Pivot Table'!$C$71:$C$93</c:f>
              <c:numCache>
                <c:formatCode>#,###,##0</c:formatCode>
                <c:ptCount val="11"/>
                <c:pt idx="0">
                  <c:v>12</c:v>
                </c:pt>
                <c:pt idx="1">
                  <c:v>8</c:v>
                </c:pt>
                <c:pt idx="2">
                  <c:v>6</c:v>
                </c:pt>
                <c:pt idx="3">
                  <c:v>6</c:v>
                </c:pt>
                <c:pt idx="4">
                  <c:v>4</c:v>
                </c:pt>
                <c:pt idx="5">
                  <c:v>1</c:v>
                </c:pt>
                <c:pt idx="6">
                  <c:v>-1</c:v>
                </c:pt>
                <c:pt idx="7">
                  <c:v>-8</c:v>
                </c:pt>
                <c:pt idx="8">
                  <c:v>-14</c:v>
                </c:pt>
                <c:pt idx="9">
                  <c:v>-17</c:v>
                </c:pt>
                <c:pt idx="10">
                  <c:v>-19</c:v>
                </c:pt>
              </c:numCache>
            </c:numRef>
          </c:val>
          <c:extLst>
            <c:ext xmlns:c16="http://schemas.microsoft.com/office/drawing/2014/chart" uri="{C3380CC4-5D6E-409C-BE32-E72D297353CC}">
              <c16:uniqueId val="{00000001-6C20-4F64-96F8-38DF857B623B}"/>
            </c:ext>
          </c:extLst>
        </c:ser>
        <c:dLbls>
          <c:showLegendKey val="0"/>
          <c:showVal val="0"/>
          <c:showCatName val="0"/>
          <c:showSerName val="0"/>
          <c:showPercent val="0"/>
          <c:showBubbleSize val="0"/>
        </c:dLbls>
        <c:gapWidth val="150"/>
        <c:axId val="576771136"/>
        <c:axId val="576775936"/>
      </c:barChart>
      <c:catAx>
        <c:axId val="576771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75936"/>
        <c:crosses val="autoZero"/>
        <c:auto val="1"/>
        <c:lblAlgn val="ctr"/>
        <c:lblOffset val="100"/>
        <c:noMultiLvlLbl val="0"/>
      </c:catAx>
      <c:valAx>
        <c:axId val="57677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GNI/cpaita  -</a:t>
                </a:r>
                <a:r>
                  <a:rPr lang="en-IN" baseline="0"/>
                  <a:t> HDI rank</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71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22357</xdr:colOff>
      <xdr:row>14</xdr:row>
      <xdr:rowOff>53830</xdr:rowOff>
    </xdr:from>
    <xdr:to>
      <xdr:col>9</xdr:col>
      <xdr:colOff>443802</xdr:colOff>
      <xdr:row>31</xdr:row>
      <xdr:rowOff>150725</xdr:rowOff>
    </xdr:to>
    <xdr:graphicFrame macro="">
      <xdr:nvGraphicFramePr>
        <xdr:cNvPr id="4" name="Chart 3">
          <a:extLst>
            <a:ext uri="{FF2B5EF4-FFF2-40B4-BE49-F238E27FC236}">
              <a16:creationId xmlns:a16="http://schemas.microsoft.com/office/drawing/2014/main" id="{F9EA3071-8C50-E4BD-241C-F999EC14B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16747</xdr:colOff>
      <xdr:row>45</xdr:row>
      <xdr:rowOff>156587</xdr:rowOff>
    </xdr:from>
    <xdr:to>
      <xdr:col>9</xdr:col>
      <xdr:colOff>460550</xdr:colOff>
      <xdr:row>66</xdr:row>
      <xdr:rowOff>125605</xdr:rowOff>
    </xdr:to>
    <xdr:graphicFrame macro="">
      <xdr:nvGraphicFramePr>
        <xdr:cNvPr id="2" name="Chart 1">
          <a:extLst>
            <a:ext uri="{FF2B5EF4-FFF2-40B4-BE49-F238E27FC236}">
              <a16:creationId xmlns:a16="http://schemas.microsoft.com/office/drawing/2014/main" id="{ACDBC8F2-97FC-4536-99CD-AE6CFEB91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93</xdr:row>
      <xdr:rowOff>26709</xdr:rowOff>
    </xdr:from>
    <xdr:to>
      <xdr:col>6</xdr:col>
      <xdr:colOff>1508288</xdr:colOff>
      <xdr:row>111</xdr:row>
      <xdr:rowOff>7854</xdr:rowOff>
    </xdr:to>
    <xdr:graphicFrame macro="">
      <xdr:nvGraphicFramePr>
        <xdr:cNvPr id="3" name="Chart 2">
          <a:extLst>
            <a:ext uri="{FF2B5EF4-FFF2-40B4-BE49-F238E27FC236}">
              <a16:creationId xmlns:a16="http://schemas.microsoft.com/office/drawing/2014/main" id="{BB578FB3-FF60-EF9F-1C33-35A761F6A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0.51441</cdr:x>
      <cdr:y>0.83236</cdr:y>
    </cdr:from>
    <cdr:to>
      <cdr:x>0.93484</cdr:x>
      <cdr:y>0.97571</cdr:y>
    </cdr:to>
    <cdr:sp macro="" textlink="">
      <cdr:nvSpPr>
        <cdr:cNvPr id="2" name="TextBox 1">
          <a:extLst xmlns:a="http://schemas.openxmlformats.org/drawingml/2006/main">
            <a:ext uri="{FF2B5EF4-FFF2-40B4-BE49-F238E27FC236}">
              <a16:creationId xmlns:a16="http://schemas.microsoft.com/office/drawing/2014/main" id="{6EE23880-B857-7BA0-3678-6BF7C4E92A15}"/>
            </a:ext>
          </a:extLst>
        </cdr:cNvPr>
        <cdr:cNvSpPr txBox="1"/>
      </cdr:nvSpPr>
      <cdr:spPr>
        <a:xfrm xmlns:a="http://schemas.openxmlformats.org/drawingml/2006/main">
          <a:off x="6449506" y="2691353"/>
          <a:ext cx="5271155" cy="4634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Difference Between GNI per Capita Rank and HDI Rank by Country</a:t>
          </a:r>
        </a:p>
        <a:p xmlns:a="http://schemas.openxmlformats.org/drawingml/2006/main">
          <a:r>
            <a:rPr lang="en-IN" sz="1100" kern="1200"/>
            <a:t>(Note: Negative value = better HDI than income rank; Positive = underperformance relative to income)</a:t>
          </a:r>
        </a:p>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22861</xdr:colOff>
      <xdr:row>6</xdr:row>
      <xdr:rowOff>1960</xdr:rowOff>
    </xdr:from>
    <xdr:to>
      <xdr:col>13</xdr:col>
      <xdr:colOff>7620</xdr:colOff>
      <xdr:row>23</xdr:row>
      <xdr:rowOff>148468</xdr:rowOff>
    </xdr:to>
    <xdr:graphicFrame macro="">
      <xdr:nvGraphicFramePr>
        <xdr:cNvPr id="2" name="Chart 1">
          <a:extLst>
            <a:ext uri="{FF2B5EF4-FFF2-40B4-BE49-F238E27FC236}">
              <a16:creationId xmlns:a16="http://schemas.microsoft.com/office/drawing/2014/main" id="{B0433F47-1A89-42DE-A766-6673F4085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6</xdr:row>
      <xdr:rowOff>13401</xdr:rowOff>
    </xdr:from>
    <xdr:to>
      <xdr:col>23</xdr:col>
      <xdr:colOff>11373</xdr:colOff>
      <xdr:row>24</xdr:row>
      <xdr:rowOff>0</xdr:rowOff>
    </xdr:to>
    <xdr:graphicFrame macro="">
      <xdr:nvGraphicFramePr>
        <xdr:cNvPr id="3" name="Chart 2">
          <a:extLst>
            <a:ext uri="{FF2B5EF4-FFF2-40B4-BE49-F238E27FC236}">
              <a16:creationId xmlns:a16="http://schemas.microsoft.com/office/drawing/2014/main" id="{40A3B120-407B-468F-BA44-B0F1F7F43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27852</xdr:colOff>
      <xdr:row>23</xdr:row>
      <xdr:rowOff>151612</xdr:rowOff>
    </xdr:from>
    <xdr:to>
      <xdr:col>22</xdr:col>
      <xdr:colOff>602775</xdr:colOff>
      <xdr:row>45</xdr:row>
      <xdr:rowOff>22746</xdr:rowOff>
    </xdr:to>
    <xdr:graphicFrame macro="">
      <xdr:nvGraphicFramePr>
        <xdr:cNvPr id="4" name="Chart 3">
          <a:extLst>
            <a:ext uri="{FF2B5EF4-FFF2-40B4-BE49-F238E27FC236}">
              <a16:creationId xmlns:a16="http://schemas.microsoft.com/office/drawing/2014/main" id="{7BFA9482-9D21-43B3-B97F-C08C4832E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36</xdr:row>
      <xdr:rowOff>121353</xdr:rowOff>
    </xdr:from>
    <xdr:to>
      <xdr:col>3</xdr:col>
      <xdr:colOff>10527</xdr:colOff>
      <xdr:row>45</xdr:row>
      <xdr:rowOff>0</xdr:rowOff>
    </xdr:to>
    <mc:AlternateContent xmlns:mc="http://schemas.openxmlformats.org/markup-compatibility/2006" xmlns:a14="http://schemas.microsoft.com/office/drawing/2010/main">
      <mc:Choice Requires="a14">
        <xdr:graphicFrame macro="">
          <xdr:nvGraphicFramePr>
            <xdr:cNvPr id="10" name="HDI Category">
              <a:extLst>
                <a:ext uri="{FF2B5EF4-FFF2-40B4-BE49-F238E27FC236}">
                  <a16:creationId xmlns:a16="http://schemas.microsoft.com/office/drawing/2014/main" id="{750BC163-04B9-E8AD-363C-EAB9FBF2A38B}"/>
                </a:ext>
              </a:extLst>
            </xdr:cNvPr>
            <xdr:cNvGraphicFramePr/>
          </xdr:nvGraphicFramePr>
          <xdr:xfrm>
            <a:off x="0" y="0"/>
            <a:ext cx="0" cy="0"/>
          </xdr:xfrm>
          <a:graphic>
            <a:graphicData uri="http://schemas.microsoft.com/office/drawing/2010/slicer">
              <sle:slicer xmlns:sle="http://schemas.microsoft.com/office/drawing/2010/slicer" name="HDI Category"/>
            </a:graphicData>
          </a:graphic>
        </xdr:graphicFrame>
      </mc:Choice>
      <mc:Fallback xmlns="">
        <xdr:sp macro="" textlink="">
          <xdr:nvSpPr>
            <xdr:cNvPr id="0" name=""/>
            <xdr:cNvSpPr>
              <a:spLocks noTextEdit="1"/>
            </xdr:cNvSpPr>
          </xdr:nvSpPr>
          <xdr:spPr>
            <a:xfrm>
              <a:off x="0" y="6771535"/>
              <a:ext cx="1855779" cy="1541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803</xdr:rowOff>
    </xdr:from>
    <xdr:to>
      <xdr:col>3</xdr:col>
      <xdr:colOff>10527</xdr:colOff>
      <xdr:row>19</xdr:row>
      <xdr:rowOff>121620</xdr:rowOff>
    </xdr:to>
    <mc:AlternateContent xmlns:mc="http://schemas.openxmlformats.org/markup-compatibility/2006" xmlns:a14="http://schemas.microsoft.com/office/drawing/2010/main">
      <mc:Choice Requires="a14">
        <xdr:graphicFrame macro="">
          <xdr:nvGraphicFramePr>
            <xdr:cNvPr id="18" name="HDI rank 2021">
              <a:extLst>
                <a:ext uri="{FF2B5EF4-FFF2-40B4-BE49-F238E27FC236}">
                  <a16:creationId xmlns:a16="http://schemas.microsoft.com/office/drawing/2014/main" id="{99446D23-E764-4039-4757-0FC150277F95}"/>
                </a:ext>
              </a:extLst>
            </xdr:cNvPr>
            <xdr:cNvGraphicFramePr/>
          </xdr:nvGraphicFramePr>
          <xdr:xfrm>
            <a:off x="0" y="0"/>
            <a:ext cx="0" cy="0"/>
          </xdr:xfrm>
          <a:graphic>
            <a:graphicData uri="http://schemas.microsoft.com/office/drawing/2010/slicer">
              <sle:slicer xmlns:sle="http://schemas.microsoft.com/office/drawing/2010/slicer" name="HDI rank 2021"/>
            </a:graphicData>
          </a:graphic>
        </xdr:graphicFrame>
      </mc:Choice>
      <mc:Fallback xmlns="">
        <xdr:sp macro="" textlink="">
          <xdr:nvSpPr>
            <xdr:cNvPr id="0" name=""/>
            <xdr:cNvSpPr>
              <a:spLocks noTextEdit="1"/>
            </xdr:cNvSpPr>
          </xdr:nvSpPr>
          <xdr:spPr>
            <a:xfrm>
              <a:off x="0" y="1109167"/>
              <a:ext cx="1855779" cy="2522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70986</xdr:rowOff>
    </xdr:from>
    <xdr:to>
      <xdr:col>3</xdr:col>
      <xdr:colOff>23361</xdr:colOff>
      <xdr:row>36</xdr:row>
      <xdr:rowOff>70184</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0F489CBC-BDC9-6753-7DB9-0E012A3F69B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580804"/>
              <a:ext cx="1868613" cy="3139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0.51441</cdr:x>
      <cdr:y>0.83236</cdr:y>
    </cdr:from>
    <cdr:to>
      <cdr:x>0.93484</cdr:x>
      <cdr:y>0.97571</cdr:y>
    </cdr:to>
    <cdr:sp macro="" textlink="">
      <cdr:nvSpPr>
        <cdr:cNvPr id="2" name="TextBox 1">
          <a:extLst xmlns:a="http://schemas.openxmlformats.org/drawingml/2006/main">
            <a:ext uri="{FF2B5EF4-FFF2-40B4-BE49-F238E27FC236}">
              <a16:creationId xmlns:a16="http://schemas.microsoft.com/office/drawing/2014/main" id="{6EE23880-B857-7BA0-3678-6BF7C4E92A15}"/>
            </a:ext>
          </a:extLst>
        </cdr:cNvPr>
        <cdr:cNvSpPr txBox="1"/>
      </cdr:nvSpPr>
      <cdr:spPr>
        <a:xfrm xmlns:a="http://schemas.openxmlformats.org/drawingml/2006/main">
          <a:off x="6449506" y="2691353"/>
          <a:ext cx="5271155" cy="4634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Difference Between GNI per Capita Rank and HDI Rank by Country</a:t>
          </a:r>
        </a:p>
        <a:p xmlns:a="http://schemas.openxmlformats.org/drawingml/2006/main">
          <a:r>
            <a:rPr lang="en-IN" sz="1100" kern="1200"/>
            <a:t>(Note: Negative value = better HDI than income rank; Positive = underperformance relative to income)</a:t>
          </a: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Rana" refreshedDate="45762.605736689817" createdVersion="8" refreshedVersion="8" minRefreshableVersion="3" recordCount="191" xr:uid="{80426587-8AA9-4748-8A00-A10716025F28}">
  <cacheSource type="worksheet">
    <worksheetSource ref="A2:J193" sheet="Working Sheet"/>
  </cacheSource>
  <cacheFields count="10">
    <cacheField name="HDI rank 2021" numFmtId="164">
      <sharedItems containsSemiMixedTypes="0" containsString="0" containsNumber="1" containsInteger="1" minValue="1" maxValue="191" count="162">
        <n v="1"/>
        <n v="2"/>
        <n v="3"/>
        <n v="4"/>
        <n v="5"/>
        <n v="6"/>
        <n v="7"/>
        <n v="8"/>
        <n v="9"/>
        <n v="10"/>
        <n v="11"/>
        <n v="12"/>
        <n v="13"/>
        <n v="15"/>
        <n v="16"/>
        <n v="17"/>
        <n v="18"/>
        <n v="19"/>
        <n v="21"/>
        <n v="22"/>
        <n v="23"/>
        <n v="25"/>
        <n v="26"/>
        <n v="27"/>
        <n v="28"/>
        <n v="29"/>
        <n v="30"/>
        <n v="31"/>
        <n v="32"/>
        <n v="33"/>
        <n v="34"/>
        <n v="35"/>
        <n v="38"/>
        <n v="39"/>
        <n v="40"/>
        <n v="42"/>
        <n v="44"/>
        <n v="45"/>
        <n v="46"/>
        <n v="47"/>
        <n v="48"/>
        <n v="49"/>
        <n v="50"/>
        <n v="51"/>
        <n v="52"/>
        <n v="53"/>
        <n v="54"/>
        <n v="55"/>
        <n v="56"/>
        <n v="57"/>
        <n v="58"/>
        <n v="60"/>
        <n v="61"/>
        <n v="62"/>
        <n v="63"/>
        <n v="66"/>
        <n v="67"/>
        <n v="68"/>
        <n v="70"/>
        <n v="71"/>
        <n v="72"/>
        <n v="73"/>
        <n v="74"/>
        <n v="75"/>
        <n v="76"/>
        <n v="77"/>
        <n v="78"/>
        <n v="79"/>
        <n v="80"/>
        <n v="83"/>
        <n v="84"/>
        <n v="85"/>
        <n v="86"/>
        <n v="87"/>
        <n v="88"/>
        <n v="89"/>
        <n v="90"/>
        <n v="91"/>
        <n v="95"/>
        <n v="96"/>
        <n v="97"/>
        <n v="99"/>
        <n v="101"/>
        <n v="102"/>
        <n v="104"/>
        <n v="105"/>
        <n v="106"/>
        <n v="108"/>
        <n v="109"/>
        <n v="110"/>
        <n v="111"/>
        <n v="112"/>
        <n v="114"/>
        <n v="115"/>
        <n v="116"/>
        <n v="117"/>
        <n v="118"/>
        <n v="120"/>
        <n v="121"/>
        <n v="122"/>
        <n v="123"/>
        <n v="125"/>
        <n v="126"/>
        <n v="127"/>
        <n v="128"/>
        <n v="129"/>
        <n v="130"/>
        <n v="131"/>
        <n v="132"/>
        <n v="133"/>
        <n v="134"/>
        <n v="135"/>
        <n v="136"/>
        <n v="137"/>
        <n v="138"/>
        <n v="139"/>
        <n v="140"/>
        <n v="143"/>
        <n v="144"/>
        <n v="145"/>
        <n v="146"/>
        <n v="148"/>
        <n v="149"/>
        <n v="150"/>
        <n v="151"/>
        <n v="152"/>
        <n v="153"/>
        <n v="154"/>
        <n v="155"/>
        <n v="156"/>
        <n v="158"/>
        <n v="159"/>
        <n v="160"/>
        <n v="161"/>
        <n v="162"/>
        <n v="163"/>
        <n v="165"/>
        <n v="166"/>
        <n v="168"/>
        <n v="169"/>
        <n v="170"/>
        <n v="171"/>
        <n v="172"/>
        <n v="173"/>
        <n v="174"/>
        <n v="175"/>
        <n v="176"/>
        <n v="177"/>
        <n v="178"/>
        <n v="179"/>
        <n v="180"/>
        <n v="181"/>
        <n v="182"/>
        <n v="183"/>
        <n v="184"/>
        <n v="185"/>
        <n v="186"/>
        <n v="187"/>
        <n v="188"/>
        <n v="189"/>
        <n v="190"/>
        <n v="191"/>
      </sharedItems>
    </cacheField>
    <cacheField name="Country" numFmtId="0">
      <sharedItems count="191">
        <s v="Switzerland"/>
        <s v="Norway"/>
        <s v="Iceland"/>
        <s v="Hong Kong, China (SAR)"/>
        <s v="Australia"/>
        <s v="Denmark"/>
        <s v="Sweden"/>
        <s v="Ireland"/>
        <s v="Germany"/>
        <s v="Netherlands"/>
        <s v="Finland"/>
        <s v="Singapore"/>
        <s v="Belgium"/>
        <s v="New Zealand"/>
        <s v="Canada"/>
        <s v="Liechtenstein"/>
        <s v="Luxembourg"/>
        <s v="United Kingdom"/>
        <s v="Japan"/>
        <s v="Korea (Republic of)"/>
        <s v="United States"/>
        <s v="Israel"/>
        <s v="Malta"/>
        <s v="Slovenia"/>
        <s v="Austria"/>
        <s v="United Arab Emirates"/>
        <s v="Spain"/>
        <s v="France"/>
        <s v="Cyprus"/>
        <s v="Italy"/>
        <s v="Estonia"/>
        <s v="Czechia"/>
        <s v="Greece"/>
        <s v="Poland"/>
        <s v="Bahrain"/>
        <s v="Lithuania"/>
        <s v="Saudi Arabia"/>
        <s v="Portugal"/>
        <s v="Latvia"/>
        <s v="Andorra"/>
        <s v="Croatia"/>
        <s v="Chile"/>
        <s v="Qatar"/>
        <s v="San Marino"/>
        <s v="Slovakia"/>
        <s v="Hungary"/>
        <s v="Argentina"/>
        <s v="Türkiye"/>
        <s v="Montenegro"/>
        <s v="Kuwait"/>
        <s v="Brunei Darussalam"/>
        <s v="Russian Federation"/>
        <s v="Romania"/>
        <s v="Oman"/>
        <s v="Bahamas"/>
        <s v="Kazakhstan"/>
        <s v="Trinidad and Tobago"/>
        <s v="Costa Rica"/>
        <s v="Uruguay"/>
        <s v="Belarus"/>
        <s v="Panama"/>
        <s v="Malaysia"/>
        <s v="Georgia"/>
        <s v="Mauritius"/>
        <s v="Serbia"/>
        <s v="Thailand"/>
        <s v="Albania"/>
        <s v="Bulgaria"/>
        <s v="Grenada"/>
        <s v="Barbados"/>
        <s v="Antigua and Barbuda"/>
        <s v="Seychelles"/>
        <s v="Sri Lanka"/>
        <s v="Bosnia and Herzegovina"/>
        <s v="Saint Kitts and Nevis"/>
        <s v="Iran (Islamic Republic of)"/>
        <s v="Ukraine"/>
        <s v="North Macedonia"/>
        <s v="China"/>
        <s v="Dominican Republic"/>
        <s v="Moldova (Republic of)"/>
        <s v="Palau"/>
        <s v="Cuba"/>
        <s v="Peru"/>
        <s v="Armenia"/>
        <s v="Mexico"/>
        <s v="Brazil"/>
        <s v="Colombia"/>
        <s v="Saint Vincent and the Grenadines"/>
        <s v="Maldives"/>
        <s v="Algeria"/>
        <s v="Azerbaijan"/>
        <s v="Tonga"/>
        <s v="Turkmenistan"/>
        <s v="Ecuador"/>
        <s v="Mongolia"/>
        <s v="Egypt"/>
        <s v="Tunisia"/>
        <s v="Fiji"/>
        <s v="Suriname"/>
        <s v="Uzbekistan"/>
        <s v="Dominica"/>
        <s v="Jordan"/>
        <s v="Libya"/>
        <s v="Paraguay"/>
        <s v="Palestine, State of"/>
        <s v="Saint Lucia"/>
        <s v="Guyana"/>
        <s v="South Africa"/>
        <s v="Jamaica"/>
        <s v="Samoa"/>
        <s v="Gabon"/>
        <s v="Lebanon"/>
        <s v="Indonesia"/>
        <s v="Viet Nam"/>
        <s v="Philippines"/>
        <s v="Botswana"/>
        <s v="Bolivia (Plurinational State of)"/>
        <s v="Kyrgyzstan"/>
        <s v="Venezuela (Bolivarian Republic of)"/>
        <s v="Iraq"/>
        <s v="Tajikistan"/>
        <s v="Belize"/>
        <s v="Morocco"/>
        <s v="El Salvador"/>
        <s v="Nicaragua"/>
        <s v="Bhutan"/>
        <s v="Cabo Verde"/>
        <s v="Bangladesh"/>
        <s v="Tuvalu"/>
        <s v="Marshall Islands"/>
        <s v="India"/>
        <s v="Ghana"/>
        <s v="Micronesia (Federated States of)"/>
        <s v="Guatemala"/>
        <s v="Kiribati"/>
        <s v="Honduras"/>
        <s v="Sao Tome and Principe"/>
        <s v="Namibia"/>
        <s v="Lao People's Democratic Republic"/>
        <s v="Timor-Leste"/>
        <s v="Vanuatu"/>
        <s v="Nepal"/>
        <s v="Eswatini (Kingdom of)"/>
        <s v="Equatorial Guinea"/>
        <s v="Cambodia"/>
        <s v="Zimbabwe"/>
        <s v="Angola"/>
        <s v="Myanmar"/>
        <s v="Syrian Arab Republic"/>
        <s v="Cameroon"/>
        <s v="Kenya"/>
        <s v="Congo"/>
        <s v="Zambia"/>
        <s v="Solomon Islands"/>
        <s v="Comoros"/>
        <s v="Papua New Guinea"/>
        <s v="Mauritania"/>
        <s v="Côte d'Ivoire"/>
        <s v="Tanzania (United Republic of)"/>
        <s v="Pakistan"/>
        <s v="Togo"/>
        <s v="Haiti"/>
        <s v="Nigeria"/>
        <s v="Rwanda"/>
        <s v="Benin"/>
        <s v="Uganda"/>
        <s v="Lesotho"/>
        <s v="Malawi"/>
        <s v="Senegal"/>
        <s v="Djibouti"/>
        <s v="Sudan"/>
        <s v="Madagascar"/>
        <s v="Gambia"/>
        <s v="Ethiopia"/>
        <s v="Eritrea"/>
        <s v="Guinea-Bissau"/>
        <s v="Liberia"/>
        <s v="Congo (Democratic Republic of the)"/>
        <s v="Afghanistan"/>
        <s v="Sierra Leone"/>
        <s v="Guinea"/>
        <s v="Yemen"/>
        <s v="Burkina Faso"/>
        <s v="Mozambique"/>
        <s v="Mali"/>
        <s v="Burundi"/>
        <s v="Central African Republic"/>
        <s v="Niger"/>
        <s v="Chad"/>
        <s v="South Sudan"/>
      </sharedItems>
    </cacheField>
    <cacheField name="Human Development Index (HDI) " numFmtId="165">
      <sharedItems containsSemiMixedTypes="0" containsString="0" containsNumber="1" minValue="0.38500000000000001" maxValue="0.96199999999999997"/>
    </cacheField>
    <cacheField name="Life expectancy at birth" numFmtId="166">
      <sharedItems containsSemiMixedTypes="0" containsString="0" containsNumber="1" minValue="52.525399999999998" maxValue="85.473399999999998" count="191">
        <n v="83.987200000000001"/>
        <n v="83.233900000000006"/>
        <n v="82.678200000000004"/>
        <n v="85.473399999999998"/>
        <n v="84.526499999999999"/>
        <n v="81.375299999999996"/>
        <n v="82.9833"/>
        <n v="81.997600000000006"/>
        <n v="80.630099999999999"/>
        <n v="81.687299999999993"/>
        <n v="82.0381"/>
        <n v="82.754499999999993"/>
        <n v="81.878699999999995"/>
        <n v="82.451300000000003"/>
        <n v="82.656499999999994"/>
        <n v="83.257499999999993"/>
        <n v="82.628699999999995"/>
        <n v="80.742199999999997"/>
        <n v="84.783900000000003"/>
        <n v="83.697800000000001"/>
        <n v="77.1982"/>
        <n v="82.254999999999995"/>
        <n v="83.776899999999998"/>
        <n v="80.690399999999997"/>
        <n v="81.579700000000003"/>
        <n v="78.710400000000007"/>
        <n v="83.01"/>
        <n v="82.498800000000003"/>
        <n v="81.203299999999999"/>
        <n v="82.850200000000001"/>
        <n v="77.143600000000006"/>
        <n v="77.728300000000004"/>
        <n v="80.110600000000005"/>
        <n v="76.4572"/>
        <n v="78.760499999999993"/>
        <n v="73.720100000000002"/>
        <n v="76.936000000000007"/>
        <n v="81.044300000000007"/>
        <n v="73.578599999999994"/>
        <n v="80.368399999999994"/>
        <n v="77.580399999999997"/>
        <n v="78.9435"/>
        <n v="79.271600000000007"/>
        <n v="80.878600000000006"/>
        <n v="74.9101"/>
        <n v="74.530100000000004"/>
        <n v="75.389899999999997"/>
        <n v="76.032399999999996"/>
        <n v="76.342600000000004"/>
        <n v="78.672899999999998"/>
        <n v="74.642399999999995"/>
        <n v="69.418999999999997"/>
        <n v="74.184700000000007"/>
        <n v="72.540599999999998"/>
        <n v="71.598299999999995"/>
        <n v="69.362200000000001"/>
        <n v="72.9709"/>
        <n v="77.023200000000003"/>
        <n v="75.435599999999994"/>
        <n v="72.438000000000002"/>
        <n v="76.223299999999995"/>
        <n v="74.883899999999997"/>
        <n v="71.694000000000003"/>
        <n v="73.555199999999999"/>
        <n v="74.192300000000003"/>
        <n v="78.715400000000002"/>
        <n v="76.462599999999995"/>
        <n v="71.798000000000002"/>
        <n v="74.936199999999999"/>
        <n v="77.571399999999997"/>
        <n v="78.496799999999993"/>
        <n v="71.294499999999999"/>
        <n v="76.399100000000004"/>
        <n v="75.300299999999993"/>
        <n v="71.682199999999995"/>
        <n v="73.874899999999997"/>
        <n v="71.623999999999995"/>
        <n v="73.841499999999996"/>
        <n v="78.210700000000003"/>
        <n v="72.614599999999996"/>
        <n v="68.8459"/>
        <n v="66.020399999999995"/>
        <n v="73.682900000000004"/>
        <n v="72.376900000000006"/>
        <n v="72.043099999999995"/>
        <n v="70.212699999999998"/>
        <n v="72.750399999999999"/>
        <n v="72.829599999999999"/>
        <n v="69.629099999999994"/>
        <n v="79.918199999999999"/>
        <n v="76.3767"/>
        <n v="69.365799999999993"/>
        <n v="70.985699999999994"/>
        <n v="69.264399999999995"/>
        <n v="73.67"/>
        <n v="70.975399999999993"/>
        <n v="70.220699999999994"/>
        <n v="73.771900000000002"/>
        <n v="67.114000000000004"/>
        <n v="70.274299999999997"/>
        <n v="70.861599999999996"/>
        <n v="72.813999999999993"/>
        <n v="74.256299999999996"/>
        <n v="71.911199999999994"/>
        <n v="70.261700000000005"/>
        <n v="73.472700000000003"/>
        <n v="71.111400000000003"/>
        <n v="65.673400000000001"/>
        <n v="62.341000000000001"/>
        <n v="70.500299999999996"/>
        <n v="72.767499999999998"/>
        <n v="65.820999999999998"/>
        <n v="75.047200000000004"/>
        <n v="67.570300000000003"/>
        <n v="73.618099999999998"/>
        <n v="69.266400000000004"/>
        <n v="61.140900000000002"/>
        <n v="63.630400000000002"/>
        <n v="69.977400000000003"/>
        <n v="70.553600000000003"/>
        <n v="70.377899999999997"/>
        <n v="71.594200000000001"/>
        <n v="70.469700000000003"/>
        <n v="74.041899999999998"/>
        <n v="70.747900000000001"/>
        <n v="73.836799999999997"/>
        <n v="71.814999999999998"/>
        <n v="74.0518"/>
        <n v="72.381100000000004"/>
        <n v="64.546599999999998"/>
        <n v="65.268799999999999"/>
        <n v="67.239800000000002"/>
        <n v="63.795400000000001"/>
        <n v="70.709999999999994"/>
        <n v="69.236800000000002"/>
        <n v="67.417199999999994"/>
        <n v="70.122900000000001"/>
        <n v="67.591200000000001"/>
        <n v="59.268999999999998"/>
        <n v="68.0608"/>
        <n v="67.736900000000006"/>
        <n v="70.448999999999998"/>
        <n v="68.4495"/>
        <n v="57.0657"/>
        <n v="60.594299999999997"/>
        <n v="69.583500000000001"/>
        <n v="59.253100000000003"/>
        <n v="61.6434"/>
        <n v="65.671599999999998"/>
        <n v="72.062700000000007"/>
        <n v="60.333399999999997"/>
        <n v="61.427"/>
        <n v="63.518700000000003"/>
        <n v="61.223399999999998"/>
        <n v="70.347700000000003"/>
        <n v="63.417400000000001"/>
        <n v="65.3506"/>
        <n v="64.363600000000005"/>
        <n v="58.598300000000002"/>
        <n v="66.200699999999998"/>
        <n v="66.097899999999996"/>
        <n v="61.619399999999999"/>
        <n v="63.192399999999999"/>
        <n v="52.676000000000002"/>
        <n v="66.072199999999995"/>
        <n v="59.820999999999998"/>
        <n v="62.704799999999999"/>
        <n v="53.061999999999998"/>
        <n v="62.904400000000003"/>
        <n v="67.092600000000004"/>
        <n v="62.304900000000004"/>
        <n v="65.2667"/>
        <n v="64.485299999999995"/>
        <n v="62.082999999999998"/>
        <n v="64.974800000000002"/>
        <n v="66.535799999999995"/>
        <n v="59.652299999999997"/>
        <n v="60.747199999999999"/>
        <n v="59.192999999999998"/>
        <n v="61.982399999999998"/>
        <n v="60.062399999999997"/>
        <n v="58.892200000000003"/>
        <n v="63.753399999999999"/>
        <n v="59.269599999999997"/>
        <n v="59.3247"/>
        <n v="58.941400000000002"/>
        <n v="61.662700000000001"/>
        <n v="53.8947"/>
        <n v="61.576300000000003"/>
        <n v="52.525399999999998"/>
        <n v="54.975200000000001"/>
      </sharedItems>
    </cacheField>
    <cacheField name="Expected years of schooling" numFmtId="166">
      <sharedItems containsSemiMixedTypes="0" containsString="0" containsNumber="1" minValue="5.54251" maxValue="21.054590229999999"/>
    </cacheField>
    <cacheField name="Mean years of schooling" numFmtId="166">
      <sharedItems containsSemiMixedTypes="0" containsString="0" containsNumber="1" minValue="2.1149622589999999" maxValue="14.090966910000001"/>
    </cacheField>
    <cacheField name="Gross national income (GNI) per capita" numFmtId="164">
      <sharedItems containsSemiMixedTypes="0" containsString="0" containsNumber="1" minValue="731.7867086" maxValue="146829.70060000001"/>
    </cacheField>
    <cacheField name="GNI per capita rank minus HDI rank" numFmtId="164">
      <sharedItems containsSemiMixedTypes="0" containsString="0" containsNumber="1" containsInteger="1" minValue="-47" maxValue="37"/>
    </cacheField>
    <cacheField name="HDI rank 2020" numFmtId="164">
      <sharedItems containsSemiMixedTypes="0" containsString="0" containsNumber="1" containsInteger="1" minValue="1" maxValue="191"/>
    </cacheField>
    <cacheField name="HDI Category" numFmtId="49">
      <sharedItems count="4">
        <s v="VERY HIGH HUMAN DEVELOPMENT"/>
        <s v="HIGH HUMAN DEVELOPMENT"/>
        <s v="MEDIUM HUMAN DEVELOPMENT"/>
        <s v="LOW HUMAN DEVELOPMENT"/>
      </sharedItems>
    </cacheField>
  </cacheFields>
  <extLst>
    <ext xmlns:x14="http://schemas.microsoft.com/office/spreadsheetml/2009/9/main" uri="{725AE2AE-9491-48be-B2B4-4EB974FC3084}">
      <x14:pivotCacheDefinition pivotCacheId="1859490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x v="0"/>
    <n v="0.96199999999999997"/>
    <x v="0"/>
    <n v="16.50029945"/>
    <n v="13.85966015"/>
    <n v="66933.004539999994"/>
    <n v="5"/>
    <n v="3"/>
    <x v="0"/>
  </r>
  <r>
    <x v="1"/>
    <x v="1"/>
    <n v="0.96099999999999997"/>
    <x v="1"/>
    <n v="18.185199740000002"/>
    <n v="13.00362968"/>
    <n v="64660.106220000001"/>
    <n v="6"/>
    <n v="1"/>
    <x v="0"/>
  </r>
  <r>
    <x v="2"/>
    <x v="2"/>
    <n v="0.95899999999999996"/>
    <x v="2"/>
    <n v="19.163059230000002"/>
    <n v="13.76716995"/>
    <n v="55782.049809999997"/>
    <n v="11"/>
    <n v="2"/>
    <x v="0"/>
  </r>
  <r>
    <x v="3"/>
    <x v="3"/>
    <n v="0.95199999999999996"/>
    <x v="3"/>
    <n v="17.278169630000001"/>
    <n v="12.22620964"/>
    <n v="62606.845399999998"/>
    <n v="6"/>
    <n v="4"/>
    <x v="0"/>
  </r>
  <r>
    <x v="4"/>
    <x v="4"/>
    <n v="0.95099999999999996"/>
    <x v="4"/>
    <n v="21.054590229999999"/>
    <n v="12.726819989999999"/>
    <n v="49238.433349999999"/>
    <n v="18"/>
    <n v="5"/>
    <x v="0"/>
  </r>
  <r>
    <x v="5"/>
    <x v="5"/>
    <n v="0.94799999999999995"/>
    <x v="5"/>
    <n v="18.714799880000001"/>
    <n v="12.96049023"/>
    <n v="60364.785949999998"/>
    <n v="6"/>
    <n v="5"/>
    <x v="0"/>
  </r>
  <r>
    <x v="6"/>
    <x v="6"/>
    <n v="0.94699999999999995"/>
    <x v="6"/>
    <n v="19.418529509999999"/>
    <n v="12.609720230000001"/>
    <n v="54489.37401"/>
    <n v="9"/>
    <n v="9"/>
    <x v="0"/>
  </r>
  <r>
    <x v="7"/>
    <x v="7"/>
    <n v="0.94499999999999995"/>
    <x v="7"/>
    <n v="18.94522095"/>
    <n v="11.58222303"/>
    <n v="76168.984429999997"/>
    <n v="-3"/>
    <n v="8"/>
    <x v="0"/>
  </r>
  <r>
    <x v="8"/>
    <x v="8"/>
    <n v="0.94199999999999995"/>
    <x v="8"/>
    <n v="17.010139469999999"/>
    <n v="14.090966910000001"/>
    <n v="54534.216820000001"/>
    <n v="6"/>
    <n v="7"/>
    <x v="0"/>
  </r>
  <r>
    <x v="9"/>
    <x v="9"/>
    <n v="0.94099999999999995"/>
    <x v="9"/>
    <n v="18.693165220000001"/>
    <n v="12.581629749999999"/>
    <n v="55979.411"/>
    <n v="3"/>
    <n v="10"/>
    <x v="0"/>
  </r>
  <r>
    <x v="10"/>
    <x v="10"/>
    <n v="0.94"/>
    <x v="10"/>
    <n v="19.051929470000001"/>
    <n v="12.87362003"/>
    <n v="49452.166720000001"/>
    <n v="11"/>
    <n v="12"/>
    <x v="0"/>
  </r>
  <r>
    <x v="11"/>
    <x v="11"/>
    <n v="0.93899999999999995"/>
    <x v="11"/>
    <n v="16.524320599999999"/>
    <n v="11.924880030000001"/>
    <n v="90918.644709999993"/>
    <n v="-10"/>
    <n v="10"/>
    <x v="0"/>
  </r>
  <r>
    <x v="12"/>
    <x v="12"/>
    <n v="0.93700000000000006"/>
    <x v="12"/>
    <n v="19.604219440000001"/>
    <n v="12.37567997"/>
    <n v="52293.399770000004"/>
    <n v="7"/>
    <n v="16"/>
    <x v="0"/>
  </r>
  <r>
    <x v="12"/>
    <x v="13"/>
    <n v="0.93700000000000006"/>
    <x v="13"/>
    <n v="20.283889769999998"/>
    <n v="12.94468975"/>
    <n v="44057.31394"/>
    <n v="16"/>
    <n v="13"/>
    <x v="0"/>
  </r>
  <r>
    <x v="13"/>
    <x v="14"/>
    <n v="0.93600000000000005"/>
    <x v="14"/>
    <n v="16.396259310000001"/>
    <n v="13.83442722"/>
    <n v="46807.986190000003"/>
    <n v="9"/>
    <n v="15"/>
    <x v="0"/>
  </r>
  <r>
    <x v="14"/>
    <x v="15"/>
    <n v="0.93500000000000005"/>
    <x v="15"/>
    <n v="15.181570049999999"/>
    <n v="12.538539999999999"/>
    <n v="146829.70060000001"/>
    <n v="-15"/>
    <n v="14"/>
    <x v="0"/>
  </r>
  <r>
    <x v="15"/>
    <x v="16"/>
    <n v="0.93"/>
    <x v="16"/>
    <n v="14.398139949999999"/>
    <n v="13.015192170000001"/>
    <n v="84649.474669999996"/>
    <n v="-13"/>
    <n v="17"/>
    <x v="0"/>
  </r>
  <r>
    <x v="16"/>
    <x v="17"/>
    <n v="0.92900000000000005"/>
    <x v="17"/>
    <n v="17.309719090000002"/>
    <n v="13.4061203"/>
    <n v="45224.765639999998"/>
    <n v="9"/>
    <n v="17"/>
    <x v="0"/>
  </r>
  <r>
    <x v="17"/>
    <x v="18"/>
    <n v="0.92500000000000004"/>
    <x v="18"/>
    <n v="15.221625879999999"/>
    <n v="13.366100339999999"/>
    <n v="42274.291340000003"/>
    <n v="12"/>
    <n v="19"/>
    <x v="0"/>
  </r>
  <r>
    <x v="17"/>
    <x v="19"/>
    <n v="0.92500000000000004"/>
    <x v="19"/>
    <n v="16.521739960000001"/>
    <n v="12.51293027"/>
    <n v="44500.93187"/>
    <n v="9"/>
    <n v="20"/>
    <x v="0"/>
  </r>
  <r>
    <x v="18"/>
    <x v="20"/>
    <n v="0.92100000000000004"/>
    <x v="20"/>
    <n v="16.280979160000001"/>
    <n v="13.683429719999999"/>
    <n v="64765.215089999998"/>
    <n v="-14"/>
    <n v="21"/>
    <x v="0"/>
  </r>
  <r>
    <x v="19"/>
    <x v="21"/>
    <n v="0.91900000000000004"/>
    <x v="21"/>
    <n v="16.05088997"/>
    <n v="13.344866400000001"/>
    <n v="41523.743190000001"/>
    <n v="10"/>
    <n v="22"/>
    <x v="0"/>
  </r>
  <r>
    <x v="20"/>
    <x v="22"/>
    <n v="0.91800000000000004"/>
    <x v="22"/>
    <n v="16.838569639999999"/>
    <n v="12.21026039"/>
    <n v="38884.456230000003"/>
    <n v="12"/>
    <n v="26"/>
    <x v="0"/>
  </r>
  <r>
    <x v="20"/>
    <x v="23"/>
    <n v="0.91800000000000004"/>
    <x v="23"/>
    <n v="17.654920579999999"/>
    <n v="12.803680419999999"/>
    <n v="39746.019869999996"/>
    <n v="10"/>
    <n v="23"/>
    <x v="0"/>
  </r>
  <r>
    <x v="21"/>
    <x v="24"/>
    <n v="0.91600000000000004"/>
    <x v="24"/>
    <n v="16.007959369999998"/>
    <n v="12.25669003"/>
    <n v="53618.67138"/>
    <n v="-8"/>
    <n v="23"/>
    <x v="0"/>
  </r>
  <r>
    <x v="22"/>
    <x v="25"/>
    <n v="0.91100000000000003"/>
    <x v="25"/>
    <n v="15.717690470000001"/>
    <n v="12.69402981"/>
    <n v="62573.591809999998"/>
    <n v="-15"/>
    <n v="25"/>
    <x v="0"/>
  </r>
  <r>
    <x v="23"/>
    <x v="26"/>
    <n v="0.90500000000000003"/>
    <x v="26"/>
    <n v="17.916900630000001"/>
    <n v="10.60540009"/>
    <n v="38353.601640000001"/>
    <n v="10"/>
    <n v="27"/>
    <x v="0"/>
  </r>
  <r>
    <x v="24"/>
    <x v="27"/>
    <n v="0.90300000000000002"/>
    <x v="27"/>
    <n v="15.81206989"/>
    <n v="11.610059740000001"/>
    <n v="45937.052730000003"/>
    <n v="-2"/>
    <n v="28"/>
    <x v="0"/>
  </r>
  <r>
    <x v="25"/>
    <x v="28"/>
    <n v="0.89600000000000002"/>
    <x v="28"/>
    <n v="15.64826965"/>
    <n v="12.440170289999999"/>
    <n v="38188.421520000004"/>
    <n v="9"/>
    <n v="29"/>
    <x v="0"/>
  </r>
  <r>
    <x v="26"/>
    <x v="29"/>
    <n v="0.89500000000000002"/>
    <x v="29"/>
    <n v="16.22678947"/>
    <n v="10.740110400000001"/>
    <n v="42839.514410000003"/>
    <n v="0"/>
    <n v="32"/>
    <x v="0"/>
  </r>
  <r>
    <x v="27"/>
    <x v="30"/>
    <n v="0.89"/>
    <x v="30"/>
    <n v="15.92895985"/>
    <n v="13.548430440000001"/>
    <n v="38048.263720000003"/>
    <n v="8"/>
    <n v="30"/>
    <x v="0"/>
  </r>
  <r>
    <x v="28"/>
    <x v="31"/>
    <n v="0.88900000000000001"/>
    <x v="31"/>
    <n v="16.219680790000002"/>
    <n v="12.86931038"/>
    <n v="38745.213860000003"/>
    <n v="4"/>
    <n v="30"/>
    <x v="0"/>
  </r>
  <r>
    <x v="29"/>
    <x v="32"/>
    <n v="0.88700000000000001"/>
    <x v="32"/>
    <n v="20.02878952"/>
    <n v="11.408530239999999"/>
    <n v="29002.48545"/>
    <n v="17"/>
    <n v="33"/>
    <x v="0"/>
  </r>
  <r>
    <x v="30"/>
    <x v="33"/>
    <n v="0.876"/>
    <x v="33"/>
    <n v="16.0271492"/>
    <n v="13.164750099999999"/>
    <n v="33033.960809999997"/>
    <n v="8"/>
    <n v="36"/>
    <x v="0"/>
  </r>
  <r>
    <x v="31"/>
    <x v="34"/>
    <n v="0.875"/>
    <x v="34"/>
    <n v="16.297559740000001"/>
    <n v="11.04658985"/>
    <n v="39497.247880000003"/>
    <n v="-1"/>
    <n v="35"/>
    <x v="0"/>
  </r>
  <r>
    <x v="31"/>
    <x v="35"/>
    <n v="0.875"/>
    <x v="35"/>
    <n v="16.28506088"/>
    <n v="13.498100279999999"/>
    <n v="37931.303590000003"/>
    <n v="5"/>
    <n v="34"/>
    <x v="0"/>
  </r>
  <r>
    <x v="31"/>
    <x v="36"/>
    <n v="0.875"/>
    <x v="36"/>
    <n v="16.13549042"/>
    <n v="11.310529710000001"/>
    <n v="46111.551350000002"/>
    <n v="-10"/>
    <n v="38"/>
    <x v="0"/>
  </r>
  <r>
    <x v="32"/>
    <x v="37"/>
    <n v="0.86599999999999999"/>
    <x v="37"/>
    <n v="16.871229169999999"/>
    <n v="9.5759401319999995"/>
    <n v="33154.533430000003"/>
    <n v="3"/>
    <n v="39"/>
    <x v="0"/>
  </r>
  <r>
    <x v="33"/>
    <x v="38"/>
    <n v="0.86299999999999999"/>
    <x v="38"/>
    <n v="16.202529909999999"/>
    <n v="13.252719880000001"/>
    <n v="32803.234230000002"/>
    <n v="4"/>
    <n v="37"/>
    <x v="0"/>
  </r>
  <r>
    <x v="34"/>
    <x v="39"/>
    <n v="0.85799999999999998"/>
    <x v="39"/>
    <n v="13.300238739999999"/>
    <n v="10.55511952"/>
    <n v="51166.626609999999"/>
    <n v="-19"/>
    <n v="45"/>
    <x v="0"/>
  </r>
  <r>
    <x v="34"/>
    <x v="40"/>
    <n v="0.85799999999999998"/>
    <x v="40"/>
    <n v="15.112099649999999"/>
    <n v="12.19108434"/>
    <n v="30132.288140000001"/>
    <n v="8"/>
    <n v="41"/>
    <x v="0"/>
  </r>
  <r>
    <x v="35"/>
    <x v="41"/>
    <n v="0.85499999999999998"/>
    <x v="41"/>
    <n v="16.731300350000001"/>
    <n v="10.934966299999999"/>
    <n v="24563.244859999999"/>
    <n v="14"/>
    <n v="43"/>
    <x v="0"/>
  </r>
  <r>
    <x v="35"/>
    <x v="42"/>
    <n v="0.85499999999999998"/>
    <x v="42"/>
    <n v="12.63722038"/>
    <n v="9.9960114499999992"/>
    <n v="87134.134690000006"/>
    <n v="-39"/>
    <n v="42"/>
    <x v="0"/>
  </r>
  <r>
    <x v="36"/>
    <x v="43"/>
    <n v="0.85299999999999998"/>
    <x v="43"/>
    <n v="12.26613998"/>
    <n v="10.80146027"/>
    <n v="52653.825340000003"/>
    <n v="-25"/>
    <n v="46"/>
    <x v="0"/>
  </r>
  <r>
    <x v="37"/>
    <x v="44"/>
    <n v="0.84799999999999998"/>
    <x v="44"/>
    <n v="14.51303959"/>
    <n v="12.91141987"/>
    <n v="30690.485519999998"/>
    <n v="1"/>
    <n v="40"/>
    <x v="0"/>
  </r>
  <r>
    <x v="38"/>
    <x v="45"/>
    <n v="0.84599999999999997"/>
    <x v="45"/>
    <n v="15.0336281"/>
    <n v="12.24958992"/>
    <n v="32789.010629999997"/>
    <n v="-2"/>
    <n v="44"/>
    <x v="0"/>
  </r>
  <r>
    <x v="39"/>
    <x v="46"/>
    <n v="0.84199999999999997"/>
    <x v="46"/>
    <n v="17.874870300000001"/>
    <n v="11.147269270000001"/>
    <n v="20925.26814"/>
    <n v="17"/>
    <n v="47"/>
    <x v="0"/>
  </r>
  <r>
    <x v="40"/>
    <x v="47"/>
    <n v="0.83799999999999997"/>
    <x v="47"/>
    <n v="18.3382206"/>
    <n v="8.6331396100000006"/>
    <n v="31032.801060000002"/>
    <n v="-3"/>
    <n v="48"/>
    <x v="0"/>
  </r>
  <r>
    <x v="41"/>
    <x v="48"/>
    <n v="0.83199999999999996"/>
    <x v="48"/>
    <n v="15.08160973"/>
    <n v="12.176483060000001"/>
    <n v="20838.801289999999"/>
    <n v="16"/>
    <n v="52"/>
    <x v="0"/>
  </r>
  <r>
    <x v="42"/>
    <x v="49"/>
    <n v="0.83099999999999996"/>
    <x v="49"/>
    <n v="15.324433320000001"/>
    <n v="7.3280226180000003"/>
    <n v="52919.76137"/>
    <n v="-32"/>
    <n v="54"/>
    <x v="0"/>
  </r>
  <r>
    <x v="43"/>
    <x v="50"/>
    <n v="0.82899999999999996"/>
    <x v="50"/>
    <n v="13.951780319999999"/>
    <n v="9.18"/>
    <n v="64489.539539999998"/>
    <n v="-42"/>
    <n v="49"/>
    <x v="0"/>
  </r>
  <r>
    <x v="44"/>
    <x v="51"/>
    <n v="0.82199999999999995"/>
    <x v="51"/>
    <n v="15.76636982"/>
    <n v="12.774288049999999"/>
    <n v="27166.30891"/>
    <n v="-1"/>
    <n v="49"/>
    <x v="0"/>
  </r>
  <r>
    <x v="45"/>
    <x v="52"/>
    <n v="0.82099999999999995"/>
    <x v="52"/>
    <n v="14.22990036"/>
    <n v="11.275119780000001"/>
    <n v="30027.291310000001"/>
    <n v="-4"/>
    <n v="53"/>
    <x v="0"/>
  </r>
  <r>
    <x v="46"/>
    <x v="53"/>
    <n v="0.81599999999999995"/>
    <x v="53"/>
    <n v="14.573490140000001"/>
    <n v="11.65404034"/>
    <n v="27054.325049999999"/>
    <n v="-2"/>
    <n v="51"/>
    <x v="0"/>
  </r>
  <r>
    <x v="47"/>
    <x v="54"/>
    <n v="0.81200000000000006"/>
    <x v="54"/>
    <n v="12.89945"/>
    <n v="12.64192386"/>
    <n v="30486.184290000001"/>
    <n v="-8"/>
    <n v="58"/>
    <x v="0"/>
  </r>
  <r>
    <x v="48"/>
    <x v="55"/>
    <n v="0.81100000000000005"/>
    <x v="55"/>
    <n v="15.76500034"/>
    <n v="12.34756189"/>
    <n v="23942.818370000001"/>
    <n v="1"/>
    <n v="59"/>
    <x v="0"/>
  </r>
  <r>
    <x v="49"/>
    <x v="56"/>
    <n v="0.81"/>
    <x v="56"/>
    <n v="14.535452920000001"/>
    <n v="11.610624189999999"/>
    <n v="23392.020840000001"/>
    <n v="1"/>
    <n v="56"/>
    <x v="0"/>
  </r>
  <r>
    <x v="50"/>
    <x v="57"/>
    <n v="0.80900000000000005"/>
    <x v="57"/>
    <n v="16.545770650000001"/>
    <n v="8.8040599820000001"/>
    <n v="19974.273580000001"/>
    <n v="8"/>
    <n v="57"/>
    <x v="0"/>
  </r>
  <r>
    <x v="50"/>
    <x v="58"/>
    <n v="0.80900000000000005"/>
    <x v="58"/>
    <n v="16.832599640000002"/>
    <n v="8.9825496670000007"/>
    <n v="21268.881219999999"/>
    <n v="5"/>
    <n v="55"/>
    <x v="0"/>
  </r>
  <r>
    <x v="51"/>
    <x v="59"/>
    <n v="0.80800000000000005"/>
    <x v="59"/>
    <n v="15.16996956"/>
    <n v="12.143580439999999"/>
    <n v="18848.96704"/>
    <n v="8"/>
    <n v="60"/>
    <x v="0"/>
  </r>
  <r>
    <x v="52"/>
    <x v="60"/>
    <n v="0.80500000000000005"/>
    <x v="60"/>
    <n v="13.05787868"/>
    <n v="10.540590290000001"/>
    <n v="26956.837070000001"/>
    <n v="-8"/>
    <n v="67"/>
    <x v="0"/>
  </r>
  <r>
    <x v="53"/>
    <x v="61"/>
    <n v="0.80300000000000005"/>
    <x v="61"/>
    <n v="13.34304047"/>
    <n v="10.645059590000001"/>
    <n v="26657.94355"/>
    <n v="-8"/>
    <n v="61"/>
    <x v="0"/>
  </r>
  <r>
    <x v="54"/>
    <x v="62"/>
    <n v="0.80200000000000005"/>
    <x v="62"/>
    <n v="15.568519589999999"/>
    <n v="12.82221985"/>
    <n v="14664.168250000001"/>
    <n v="17"/>
    <n v="64"/>
    <x v="0"/>
  </r>
  <r>
    <x v="54"/>
    <x v="63"/>
    <n v="0.80200000000000005"/>
    <x v="63"/>
    <n v="15.17352977"/>
    <n v="10.42791048"/>
    <n v="22025.346310000001"/>
    <n v="-1"/>
    <n v="62"/>
    <x v="0"/>
  </r>
  <r>
    <x v="54"/>
    <x v="64"/>
    <n v="0.80200000000000005"/>
    <x v="64"/>
    <n v="14.400090219999999"/>
    <n v="11.36987019"/>
    <n v="19123.027470000001"/>
    <n v="4"/>
    <n v="62"/>
    <x v="0"/>
  </r>
  <r>
    <x v="55"/>
    <x v="65"/>
    <n v="0.8"/>
    <x v="65"/>
    <n v="15.882219129999999"/>
    <n v="8.6971197129999993"/>
    <n v="17030.15352"/>
    <n v="6"/>
    <n v="64"/>
    <x v="0"/>
  </r>
  <r>
    <x v="56"/>
    <x v="66"/>
    <n v="0.79600000000000004"/>
    <x v="66"/>
    <n v="14.44799995"/>
    <n v="11.28645502"/>
    <n v="14131.11039"/>
    <n v="17"/>
    <n v="68"/>
    <x v="1"/>
  </r>
  <r>
    <x v="57"/>
    <x v="67"/>
    <n v="0.79500000000000004"/>
    <x v="67"/>
    <n v="13.897290229999999"/>
    <n v="11.413180349999999"/>
    <n v="23078.95595"/>
    <n v="-8"/>
    <n v="64"/>
    <x v="1"/>
  </r>
  <r>
    <x v="57"/>
    <x v="68"/>
    <n v="0.79500000000000004"/>
    <x v="68"/>
    <n v="18.662020349999999"/>
    <n v="9.0321040000000004"/>
    <n v="13483.5774"/>
    <n v="18"/>
    <n v="70"/>
    <x v="1"/>
  </r>
  <r>
    <x v="58"/>
    <x v="69"/>
    <n v="0.79"/>
    <x v="69"/>
    <n v="15.71338458"/>
    <n v="9.852700596"/>
    <n v="12306.341"/>
    <n v="26"/>
    <n v="71"/>
    <x v="1"/>
  </r>
  <r>
    <x v="59"/>
    <x v="70"/>
    <n v="0.78800000000000003"/>
    <x v="70"/>
    <n v="14.18462641"/>
    <n v="9.2937407459999992"/>
    <n v="16792.365949999999"/>
    <n v="2"/>
    <n v="71"/>
    <x v="1"/>
  </r>
  <r>
    <x v="60"/>
    <x v="71"/>
    <n v="0.78500000000000003"/>
    <x v="71"/>
    <n v="13.94161034"/>
    <n v="10.28312"/>
    <n v="25830.617750000001"/>
    <n v="-17"/>
    <n v="69"/>
    <x v="1"/>
  </r>
  <r>
    <x v="61"/>
    <x v="72"/>
    <n v="0.78200000000000003"/>
    <x v="72"/>
    <n v="14.13990486"/>
    <n v="10.82730007"/>
    <n v="12578.22055"/>
    <n v="21"/>
    <n v="75"/>
    <x v="1"/>
  </r>
  <r>
    <x v="62"/>
    <x v="73"/>
    <n v="0.78"/>
    <x v="73"/>
    <n v="13.8"/>
    <n v="10.536319730000001"/>
    <n v="15241.914650000001"/>
    <n v="4"/>
    <n v="73"/>
    <x v="1"/>
  </r>
  <r>
    <x v="63"/>
    <x v="74"/>
    <n v="0.77700000000000002"/>
    <x v="74"/>
    <n v="15.42769157"/>
    <n v="8.6627449999999993"/>
    <n v="23358.332119999999"/>
    <n v="-16"/>
    <n v="76"/>
    <x v="1"/>
  </r>
  <r>
    <x v="64"/>
    <x v="75"/>
    <n v="0.77400000000000002"/>
    <x v="75"/>
    <n v="14.615249629999999"/>
    <n v="10.63645314"/>
    <n v="13000.7117"/>
    <n v="15"/>
    <n v="77"/>
    <x v="1"/>
  </r>
  <r>
    <x v="65"/>
    <x v="76"/>
    <n v="0.77300000000000002"/>
    <x v="76"/>
    <n v="14.956568539999999"/>
    <n v="11.13142043"/>
    <n v="13255.509770000001"/>
    <n v="11"/>
    <n v="78"/>
    <x v="1"/>
  </r>
  <r>
    <x v="66"/>
    <x v="77"/>
    <n v="0.77"/>
    <x v="77"/>
    <n v="13.62443234"/>
    <n v="10.22815037"/>
    <n v="15917.752829999999"/>
    <n v="-3"/>
    <n v="79"/>
    <x v="1"/>
  </r>
  <r>
    <x v="67"/>
    <x v="78"/>
    <n v="0.76800000000000002"/>
    <x v="78"/>
    <n v="14.2361149"/>
    <n v="7.6001184459999998"/>
    <n v="17504.399689999998"/>
    <n v="-8"/>
    <n v="82"/>
    <x v="1"/>
  </r>
  <r>
    <x v="68"/>
    <x v="79"/>
    <n v="0.76700000000000002"/>
    <x v="79"/>
    <n v="14.466558020000001"/>
    <n v="9.3068641070000009"/>
    <n v="17989.60037"/>
    <n v="-11"/>
    <n v="82"/>
    <x v="1"/>
  </r>
  <r>
    <x v="68"/>
    <x v="80"/>
    <n v="0.76700000000000002"/>
    <x v="80"/>
    <n v="14.43299961"/>
    <n v="11.82159042"/>
    <n v="14875.331889999999"/>
    <n v="-1"/>
    <n v="81"/>
    <x v="1"/>
  </r>
  <r>
    <x v="68"/>
    <x v="81"/>
    <n v="0.76700000000000002"/>
    <x v="81"/>
    <n v="15.784319999999999"/>
    <n v="12.491429999999999"/>
    <n v="13818.678690000001"/>
    <n v="5"/>
    <n v="80"/>
    <x v="1"/>
  </r>
  <r>
    <x v="69"/>
    <x v="82"/>
    <n v="0.76400000000000001"/>
    <x v="82"/>
    <n v="14.44305992"/>
    <n v="12.497734380000001"/>
    <n v="7878.8474820000001"/>
    <n v="37"/>
    <n v="73"/>
    <x v="1"/>
  </r>
  <r>
    <x v="70"/>
    <x v="83"/>
    <n v="0.76200000000000001"/>
    <x v="83"/>
    <n v="15.387733539999999"/>
    <n v="9.8855188629999997"/>
    <n v="12245.89366"/>
    <n v="13"/>
    <n v="85"/>
    <x v="1"/>
  </r>
  <r>
    <x v="71"/>
    <x v="84"/>
    <n v="0.75900000000000001"/>
    <x v="84"/>
    <n v="13.11676025"/>
    <n v="11.33030033"/>
    <n v="13157.993899999999"/>
    <n v="4"/>
    <n v="87"/>
    <x v="1"/>
  </r>
  <r>
    <x v="72"/>
    <x v="85"/>
    <n v="0.75800000000000001"/>
    <x v="85"/>
    <n v="14.86443996"/>
    <n v="9.2210502620000003"/>
    <n v="17896.294979999999"/>
    <n v="-16"/>
    <n v="88"/>
    <x v="1"/>
  </r>
  <r>
    <x v="73"/>
    <x v="86"/>
    <n v="0.754"/>
    <x v="86"/>
    <n v="15.599060059999999"/>
    <n v="8.128813955"/>
    <n v="14369.88848"/>
    <n v="-5"/>
    <n v="86"/>
    <x v="1"/>
  </r>
  <r>
    <x v="74"/>
    <x v="87"/>
    <n v="0.752"/>
    <x v="87"/>
    <n v="14.44274998"/>
    <n v="8.8628597259999999"/>
    <n v="14384.356659999999"/>
    <n v="-7"/>
    <n v="88"/>
    <x v="1"/>
  </r>
  <r>
    <x v="75"/>
    <x v="88"/>
    <n v="0.751"/>
    <x v="88"/>
    <n v="14.67220567"/>
    <n v="10.833430290000001"/>
    <n v="11961.08792"/>
    <n v="11"/>
    <n v="82"/>
    <x v="1"/>
  </r>
  <r>
    <x v="76"/>
    <x v="89"/>
    <n v="0.747"/>
    <x v="89"/>
    <n v="12.635609629999999"/>
    <n v="7.3220000000000001"/>
    <n v="15448.12788"/>
    <n v="-14"/>
    <n v="97"/>
    <x v="1"/>
  </r>
  <r>
    <x v="77"/>
    <x v="90"/>
    <n v="0.745"/>
    <x v="90"/>
    <n v="14.62689602"/>
    <n v="8.0692843970000006"/>
    <n v="10800.22546"/>
    <n v="13"/>
    <n v="96"/>
    <x v="1"/>
  </r>
  <r>
    <x v="77"/>
    <x v="91"/>
    <n v="0.745"/>
    <x v="91"/>
    <n v="13.496890069999999"/>
    <n v="10.5429697"/>
    <n v="14256.744559999999"/>
    <n v="-8"/>
    <n v="100"/>
    <x v="1"/>
  </r>
  <r>
    <x v="77"/>
    <x v="92"/>
    <n v="0.745"/>
    <x v="92"/>
    <n v="16.04857063"/>
    <n v="11.392594000000001"/>
    <n v="6822.03125"/>
    <n v="34"/>
    <n v="90"/>
    <x v="1"/>
  </r>
  <r>
    <x v="77"/>
    <x v="93"/>
    <n v="0.745"/>
    <x v="93"/>
    <n v="13.21039963"/>
    <n v="11.26139"/>
    <n v="13020.7155"/>
    <n v="-1"/>
    <n v="93"/>
    <x v="1"/>
  </r>
  <r>
    <x v="78"/>
    <x v="94"/>
    <n v="0.74"/>
    <x v="94"/>
    <n v="14.62423038"/>
    <n v="8.8171195979999997"/>
    <n v="10311.632729999999"/>
    <n v="11"/>
    <n v="99"/>
    <x v="1"/>
  </r>
  <r>
    <x v="79"/>
    <x v="95"/>
    <n v="0.73899999999999999"/>
    <x v="95"/>
    <n v="14.980349540000001"/>
    <n v="9.4237003329999993"/>
    <n v="10588.22532"/>
    <n v="9"/>
    <n v="90"/>
    <x v="1"/>
  </r>
  <r>
    <x v="80"/>
    <x v="96"/>
    <n v="0.73099999999999998"/>
    <x v="96"/>
    <n v="13.78649972"/>
    <n v="9.5730261740000007"/>
    <n v="11731.690559999999"/>
    <n v="4"/>
    <n v="97"/>
    <x v="1"/>
  </r>
  <r>
    <x v="80"/>
    <x v="97"/>
    <n v="0.73099999999999998"/>
    <x v="97"/>
    <n v="15.425382239999999"/>
    <n v="7.4315986140000003"/>
    <n v="10257.54477"/>
    <n v="10"/>
    <n v="94"/>
    <x v="1"/>
  </r>
  <r>
    <x v="81"/>
    <x v="98"/>
    <n v="0.73"/>
    <x v="98"/>
    <n v="14.736789999999999"/>
    <n v="10.921547990000001"/>
    <n v="9980.1108660000009"/>
    <n v="9"/>
    <n v="94"/>
    <x v="1"/>
  </r>
  <r>
    <x v="81"/>
    <x v="99"/>
    <n v="0.73"/>
    <x v="99"/>
    <n v="13.03564357"/>
    <n v="9.7768006300000003"/>
    <n v="12672.20033"/>
    <n v="-6"/>
    <n v="92"/>
    <x v="1"/>
  </r>
  <r>
    <x v="82"/>
    <x v="100"/>
    <n v="0.72699999999999998"/>
    <x v="100"/>
    <n v="12.47714043"/>
    <n v="11.89558983"/>
    <n v="7916.7857249999997"/>
    <n v="18"/>
    <n v="107"/>
    <x v="1"/>
  </r>
  <r>
    <x v="83"/>
    <x v="101"/>
    <n v="0.72"/>
    <x v="101"/>
    <n v="13.319186200000001"/>
    <n v="8.1421860000000006"/>
    <n v="11487.62422"/>
    <n v="0"/>
    <n v="106"/>
    <x v="1"/>
  </r>
  <r>
    <x v="83"/>
    <x v="102"/>
    <n v="0.72"/>
    <x v="102"/>
    <n v="10.646559720000001"/>
    <n v="10.446680069999999"/>
    <n v="9923.7149740000004"/>
    <n v="8"/>
    <n v="104"/>
    <x v="1"/>
  </r>
  <r>
    <x v="84"/>
    <x v="103"/>
    <n v="0.71799999999999997"/>
    <x v="103"/>
    <n v="12.854279999999999"/>
    <n v="7.5999850000000002"/>
    <n v="15335.712"/>
    <n v="-27"/>
    <n v="117"/>
    <x v="1"/>
  </r>
  <r>
    <x v="85"/>
    <x v="104"/>
    <n v="0.71699999999999997"/>
    <x v="104"/>
    <n v="12.987991129999999"/>
    <n v="8.861840248"/>
    <n v="12349.286"/>
    <n v="-10"/>
    <n v="100"/>
    <x v="1"/>
  </r>
  <r>
    <x v="86"/>
    <x v="105"/>
    <n v="0.71499999999999997"/>
    <x v="105"/>
    <n v="13.358010289999999"/>
    <n v="9.9384803769999994"/>
    <n v="6582.8994160000002"/>
    <n v="21"/>
    <n v="109"/>
    <x v="1"/>
  </r>
  <r>
    <x v="86"/>
    <x v="106"/>
    <n v="0.71499999999999997"/>
    <x v="106"/>
    <n v="12.866109850000001"/>
    <n v="8.5450401310000004"/>
    <n v="12048.303809999999"/>
    <n v="-7"/>
    <n v="104"/>
    <x v="1"/>
  </r>
  <r>
    <x v="87"/>
    <x v="107"/>
    <n v="0.71399999999999997"/>
    <x v="107"/>
    <n v="12.502722159999999"/>
    <n v="8.6174769999999992"/>
    <n v="22464.657340000002"/>
    <n v="-47"/>
    <n v="107"/>
    <x v="1"/>
  </r>
  <r>
    <x v="88"/>
    <x v="108"/>
    <n v="0.71299999999999997"/>
    <x v="108"/>
    <n v="13.64371014"/>
    <n v="11.37316036"/>
    <n v="12948.373250000001"/>
    <n v="-17"/>
    <n v="102"/>
    <x v="1"/>
  </r>
  <r>
    <x v="89"/>
    <x v="109"/>
    <n v="0.70899999999999996"/>
    <x v="109"/>
    <n v="13.40492042"/>
    <n v="9.1546286610000003"/>
    <n v="8834.4756699999998"/>
    <n v="4"/>
    <n v="110"/>
    <x v="1"/>
  </r>
  <r>
    <x v="90"/>
    <x v="110"/>
    <n v="0.70699999999999996"/>
    <x v="110"/>
    <n v="12.41885948"/>
    <n v="11.4038"/>
    <n v="5307.9533739999997"/>
    <n v="24"/>
    <n v="112"/>
    <x v="1"/>
  </r>
  <r>
    <x v="91"/>
    <x v="111"/>
    <n v="0.70599999999999996"/>
    <x v="111"/>
    <n v="12.977309999999999"/>
    <n v="9.4359999999999999"/>
    <n v="13366.93455"/>
    <n v="-25"/>
    <n v="113"/>
    <x v="1"/>
  </r>
  <r>
    <x v="91"/>
    <x v="112"/>
    <n v="0.70599999999999996"/>
    <x v="112"/>
    <n v="11.285869999999999"/>
    <n v="8.7186360000000001"/>
    <n v="9525.831467"/>
    <n v="-1"/>
    <n v="103"/>
    <x v="1"/>
  </r>
  <r>
    <x v="92"/>
    <x v="113"/>
    <n v="0.70499999999999996"/>
    <x v="113"/>
    <n v="13.748893860000001"/>
    <n v="8.5565099720000006"/>
    <n v="11466.068359999999"/>
    <n v="-11"/>
    <n v="116"/>
    <x v="1"/>
  </r>
  <r>
    <x v="93"/>
    <x v="114"/>
    <n v="0.70299999999999996"/>
    <x v="114"/>
    <n v="12.9519325"/>
    <n v="8.370280266"/>
    <n v="7867.3713449999996"/>
    <n v="6"/>
    <n v="113"/>
    <x v="1"/>
  </r>
  <r>
    <x v="94"/>
    <x v="115"/>
    <n v="0.69899999999999995"/>
    <x v="115"/>
    <n v="13.12656975"/>
    <n v="8.9690999980000008"/>
    <n v="8920.4284680000001"/>
    <n v="-3"/>
    <n v="113"/>
    <x v="2"/>
  </r>
  <r>
    <x v="95"/>
    <x v="116"/>
    <n v="0.69299999999999995"/>
    <x v="116"/>
    <n v="12.26513765"/>
    <n v="10.34"/>
    <n v="16198.31841"/>
    <n v="-43"/>
    <n v="110"/>
    <x v="2"/>
  </r>
  <r>
    <x v="96"/>
    <x v="117"/>
    <n v="0.69199999999999995"/>
    <x v="117"/>
    <n v="14.94697094"/>
    <n v="9.8277502059999993"/>
    <n v="8111.1901939999998"/>
    <n v="0"/>
    <n v="119"/>
    <x v="2"/>
  </r>
  <r>
    <x v="96"/>
    <x v="118"/>
    <n v="0.69199999999999995"/>
    <x v="118"/>
    <n v="13.195300100000001"/>
    <n v="11.37410556"/>
    <n v="4566.3038310000002"/>
    <n v="26"/>
    <n v="121"/>
    <x v="2"/>
  </r>
  <r>
    <x v="97"/>
    <x v="119"/>
    <n v="0.69099999999999995"/>
    <x v="119"/>
    <n v="12.816079999999999"/>
    <n v="11.107277359999999"/>
    <n v="4810.8826209999997"/>
    <n v="20"/>
    <n v="118"/>
    <x v="2"/>
  </r>
  <r>
    <x v="98"/>
    <x v="120"/>
    <n v="0.68600000000000005"/>
    <x v="120"/>
    <n v="12.087473170000001"/>
    <n v="7.9055934890000001"/>
    <n v="9977.2490730000009"/>
    <n v="-12"/>
    <n v="122"/>
    <x v="2"/>
  </r>
  <r>
    <x v="99"/>
    <x v="121"/>
    <n v="0.68500000000000005"/>
    <x v="121"/>
    <n v="11.653036180000001"/>
    <n v="11.3333938"/>
    <n v="4547.7424270000001"/>
    <n v="23"/>
    <n v="126"/>
    <x v="2"/>
  </r>
  <r>
    <x v="100"/>
    <x v="122"/>
    <n v="0.68300000000000005"/>
    <x v="122"/>
    <n v="12.99168968"/>
    <n v="8.8475999830000003"/>
    <n v="6309.0997779999998"/>
    <n v="6"/>
    <n v="120"/>
    <x v="2"/>
  </r>
  <r>
    <x v="100"/>
    <x v="123"/>
    <n v="0.68300000000000005"/>
    <x v="123"/>
    <n v="14.151909829999999"/>
    <n v="5.9160000000000004"/>
    <n v="7302.8191699999998"/>
    <n v="1"/>
    <n v="122"/>
    <x v="2"/>
  </r>
  <r>
    <x v="101"/>
    <x v="124"/>
    <n v="0.67500000000000004"/>
    <x v="124"/>
    <n v="12.671347669999999"/>
    <n v="7.150929928"/>
    <n v="8295.6658889999999"/>
    <n v="-8"/>
    <n v="124"/>
    <x v="2"/>
  </r>
  <r>
    <x v="102"/>
    <x v="125"/>
    <n v="0.66700000000000004"/>
    <x v="125"/>
    <n v="12.64135783"/>
    <n v="7.1440000000000001"/>
    <n v="5624.7935950000001"/>
    <n v="6"/>
    <n v="129"/>
    <x v="2"/>
  </r>
  <r>
    <x v="103"/>
    <x v="126"/>
    <n v="0.66600000000000004"/>
    <x v="126"/>
    <n v="13.225004780000001"/>
    <n v="5.1702622829999996"/>
    <n v="9437.5415119999998"/>
    <n v="-15"/>
    <n v="125"/>
    <x v="2"/>
  </r>
  <r>
    <x v="104"/>
    <x v="127"/>
    <n v="0.66200000000000003"/>
    <x v="127"/>
    <n v="12.55461444"/>
    <n v="6.2877192869999998"/>
    <n v="6230.2001989999999"/>
    <n v="2"/>
    <n v="127"/>
    <x v="2"/>
  </r>
  <r>
    <x v="105"/>
    <x v="128"/>
    <n v="0.66100000000000003"/>
    <x v="128"/>
    <n v="12.441980360000001"/>
    <n v="7.3790597919999996"/>
    <n v="5472.104781"/>
    <n v="4"/>
    <n v="128"/>
    <x v="2"/>
  </r>
  <r>
    <x v="106"/>
    <x v="129"/>
    <n v="0.64100000000000001"/>
    <x v="129"/>
    <n v="9.4044299999999996"/>
    <n v="10.573107719999999"/>
    <n v="6351.4358990000001"/>
    <n v="-2"/>
    <n v="131"/>
    <x v="2"/>
  </r>
  <r>
    <x v="107"/>
    <x v="130"/>
    <n v="0.63900000000000001"/>
    <x v="130"/>
    <n v="10.239319800000001"/>
    <n v="10.883139610000001"/>
    <n v="4619.5353930000001"/>
    <n v="12"/>
    <n v="131"/>
    <x v="2"/>
  </r>
  <r>
    <x v="108"/>
    <x v="131"/>
    <n v="0.63300000000000001"/>
    <x v="131"/>
    <n v="11.874620439999999"/>
    <n v="6.6551091949999996"/>
    <n v="6589.9800370000003"/>
    <n v="-6"/>
    <n v="130"/>
    <x v="2"/>
  </r>
  <r>
    <x v="109"/>
    <x v="132"/>
    <n v="0.63200000000000001"/>
    <x v="132"/>
    <n v="12.047780039999999"/>
    <n v="8.3298866950000008"/>
    <n v="5744.5040170000002"/>
    <n v="-2"/>
    <n v="135"/>
    <x v="2"/>
  </r>
  <r>
    <x v="110"/>
    <x v="133"/>
    <n v="0.628"/>
    <x v="133"/>
    <n v="11.54947988"/>
    <n v="7.8049559999999998"/>
    <n v="3696.173945"/>
    <n v="22"/>
    <n v="136"/>
    <x v="2"/>
  </r>
  <r>
    <x v="111"/>
    <x v="134"/>
    <n v="0.627"/>
    <x v="134"/>
    <n v="10.56245041"/>
    <n v="5.6813001630000004"/>
    <n v="8723.2853169999998"/>
    <n v="-20"/>
    <n v="133"/>
    <x v="2"/>
  </r>
  <r>
    <x v="112"/>
    <x v="135"/>
    <n v="0.624"/>
    <x v="135"/>
    <n v="11.801993"/>
    <n v="7.9844618220000001"/>
    <n v="4062.5860339999999"/>
    <n v="14"/>
    <n v="137"/>
    <x v="2"/>
  </r>
  <r>
    <x v="113"/>
    <x v="136"/>
    <n v="0.621"/>
    <x v="136"/>
    <n v="10.13281417"/>
    <n v="7.0884799960000002"/>
    <n v="5297.955301"/>
    <n v="-1"/>
    <n v="138"/>
    <x v="2"/>
  </r>
  <r>
    <x v="114"/>
    <x v="137"/>
    <n v="0.61799999999999999"/>
    <x v="137"/>
    <n v="13.365385059999999"/>
    <n v="6.2155994349999997"/>
    <n v="4021.3508149999998"/>
    <n v="13"/>
    <n v="139"/>
    <x v="2"/>
  </r>
  <r>
    <x v="115"/>
    <x v="138"/>
    <n v="0.61499999999999999"/>
    <x v="138"/>
    <n v="11.92720692"/>
    <n v="7.192013277"/>
    <n v="8633.5044519999992"/>
    <n v="-23"/>
    <n v="134"/>
    <x v="2"/>
  </r>
  <r>
    <x v="116"/>
    <x v="139"/>
    <n v="0.60699999999999998"/>
    <x v="139"/>
    <n v="10.136110309999999"/>
    <n v="5.3739999999999997"/>
    <n v="7699.5796170000003"/>
    <n v="-18"/>
    <n v="142"/>
    <x v="2"/>
  </r>
  <r>
    <x v="116"/>
    <x v="140"/>
    <n v="0.60699999999999998"/>
    <x v="140"/>
    <n v="12.616097999999999"/>
    <n v="5.4367900000000002"/>
    <n v="4460.8694349999996"/>
    <n v="7"/>
    <n v="140"/>
    <x v="2"/>
  </r>
  <r>
    <x v="116"/>
    <x v="141"/>
    <n v="0.60699999999999998"/>
    <x v="141"/>
    <n v="11.53531503"/>
    <n v="7.0648460000000002"/>
    <n v="3085.4116330000002"/>
    <n v="23"/>
    <n v="142"/>
    <x v="2"/>
  </r>
  <r>
    <x v="117"/>
    <x v="142"/>
    <n v="0.60199999999999998"/>
    <x v="142"/>
    <n v="12.88694954"/>
    <n v="5.1217927420000002"/>
    <n v="3877.3154439999998"/>
    <n v="10"/>
    <n v="144"/>
    <x v="2"/>
  </r>
  <r>
    <x v="118"/>
    <x v="143"/>
    <n v="0.59699999999999998"/>
    <x v="143"/>
    <n v="13.744345859999999"/>
    <n v="5.5960000000000001"/>
    <n v="7678.5918730000003"/>
    <n v="-21"/>
    <n v="141"/>
    <x v="2"/>
  </r>
  <r>
    <x v="119"/>
    <x v="144"/>
    <n v="0.59599999999999997"/>
    <x v="144"/>
    <n v="9.7349399999999999"/>
    <n v="5.910863"/>
    <n v="12073.959930000001"/>
    <n v="-47"/>
    <n v="147"/>
    <x v="2"/>
  </r>
  <r>
    <x v="120"/>
    <x v="145"/>
    <n v="0.59299999999999997"/>
    <x v="145"/>
    <n v="11.46772"/>
    <n v="5.0880000000000001"/>
    <n v="4078.697154"/>
    <n v="3"/>
    <n v="148"/>
    <x v="2"/>
  </r>
  <r>
    <x v="120"/>
    <x v="146"/>
    <n v="0.59299999999999997"/>
    <x v="146"/>
    <n v="12.110969040000001"/>
    <n v="8.7109085010000005"/>
    <n v="3809.887158"/>
    <n v="9"/>
    <n v="145"/>
    <x v="2"/>
  </r>
  <r>
    <x v="121"/>
    <x v="147"/>
    <n v="0.58599999999999997"/>
    <x v="147"/>
    <n v="12.1721"/>
    <n v="5.4173908229999999"/>
    <n v="5465.6177909999997"/>
    <n v="-14"/>
    <n v="149"/>
    <x v="2"/>
  </r>
  <r>
    <x v="122"/>
    <x v="148"/>
    <n v="0.58499999999999996"/>
    <x v="148"/>
    <n v="10.90913752"/>
    <n v="6.3768000599999999"/>
    <n v="3850.524234"/>
    <n v="5"/>
    <n v="145"/>
    <x v="2"/>
  </r>
  <r>
    <x v="123"/>
    <x v="149"/>
    <n v="0.57699999999999996"/>
    <x v="149"/>
    <n v="9.1642198560000008"/>
    <n v="5.0999999999999996"/>
    <n v="4191.9338930000004"/>
    <n v="-2"/>
    <n v="152"/>
    <x v="2"/>
  </r>
  <r>
    <x v="124"/>
    <x v="150"/>
    <n v="0.57599999999999996"/>
    <x v="150"/>
    <n v="13.10859922"/>
    <n v="6.1513099999999996"/>
    <n v="3620.9324080000001"/>
    <n v="6"/>
    <n v="150"/>
    <x v="2"/>
  </r>
  <r>
    <x v="125"/>
    <x v="151"/>
    <n v="0.57499999999999996"/>
    <x v="151"/>
    <n v="10.698558350000001"/>
    <n v="6.6520000000000001"/>
    <n v="4473.5703439999997"/>
    <n v="-6"/>
    <n v="150"/>
    <x v="2"/>
  </r>
  <r>
    <x v="126"/>
    <x v="152"/>
    <n v="0.57099999999999995"/>
    <x v="152"/>
    <n v="12.33081527"/>
    <n v="6.1660000000000004"/>
    <n v="2889.2835209999998"/>
    <n v="11"/>
    <n v="153"/>
    <x v="2"/>
  </r>
  <r>
    <x v="127"/>
    <x v="153"/>
    <n v="0.56499999999999995"/>
    <x v="153"/>
    <n v="10.92876021"/>
    <n v="7.1870914939999997"/>
    <n v="3217.7677389999999"/>
    <n v="7"/>
    <n v="154"/>
    <x v="2"/>
  </r>
  <r>
    <x v="128"/>
    <x v="154"/>
    <n v="0.56399999999999995"/>
    <x v="154"/>
    <n v="10.328690269999999"/>
    <n v="5.7118479999999998"/>
    <n v="2481.5113620000002"/>
    <n v="13"/>
    <n v="155"/>
    <x v="2"/>
  </r>
  <r>
    <x v="129"/>
    <x v="155"/>
    <n v="0.55800000000000005"/>
    <x v="155"/>
    <n v="11.92432393"/>
    <n v="5.0786490000000004"/>
    <n v="3142.0641190000001"/>
    <n v="6"/>
    <n v="156"/>
    <x v="2"/>
  </r>
  <r>
    <x v="129"/>
    <x v="156"/>
    <n v="0.55800000000000005"/>
    <x v="156"/>
    <n v="10.36077074"/>
    <n v="4.74"/>
    <n v="4008.6235729999999"/>
    <n v="-4"/>
    <n v="157"/>
    <x v="2"/>
  </r>
  <r>
    <x v="130"/>
    <x v="157"/>
    <n v="0.55600000000000005"/>
    <x v="157"/>
    <n v="9.3761596679999997"/>
    <n v="4.9188048909999997"/>
    <n v="5075.305711"/>
    <n v="-20"/>
    <n v="158"/>
    <x v="2"/>
  </r>
  <r>
    <x v="131"/>
    <x v="158"/>
    <n v="0.55000000000000004"/>
    <x v="158"/>
    <n v="10.67558002"/>
    <n v="5.1991389769999996"/>
    <n v="5217.4485160000004"/>
    <n v="-22"/>
    <n v="159"/>
    <x v="2"/>
  </r>
  <r>
    <x v="132"/>
    <x v="159"/>
    <n v="0.54900000000000004"/>
    <x v="159"/>
    <n v="9.2214899060000004"/>
    <n v="6.3728987100000003"/>
    <n v="2664.3290959999999"/>
    <n v="7"/>
    <n v="160"/>
    <x v="3"/>
  </r>
  <r>
    <x v="133"/>
    <x v="160"/>
    <n v="0.54400000000000004"/>
    <x v="160"/>
    <n v="8.6583499909999997"/>
    <n v="4.5363302230000002"/>
    <n v="4623.70543"/>
    <n v="-19"/>
    <n v="161"/>
    <x v="3"/>
  </r>
  <r>
    <x v="134"/>
    <x v="161"/>
    <n v="0.53900000000000003"/>
    <x v="161"/>
    <n v="12.95049378"/>
    <n v="5.0168073670000002"/>
    <n v="2166.6190620000002"/>
    <n v="12"/>
    <n v="163"/>
    <x v="3"/>
  </r>
  <r>
    <x v="135"/>
    <x v="162"/>
    <n v="0.53500000000000003"/>
    <x v="162"/>
    <n v="9.6999999999999993"/>
    <n v="5.5540000000000003"/>
    <n v="2847.5007460000002"/>
    <n v="2"/>
    <n v="162"/>
    <x v="3"/>
  </r>
  <r>
    <x v="135"/>
    <x v="163"/>
    <n v="0.53500000000000003"/>
    <x v="163"/>
    <n v="10.12758388"/>
    <n v="7.181074153"/>
    <n v="4790.2844249999998"/>
    <n v="-22"/>
    <n v="163"/>
    <x v="3"/>
  </r>
  <r>
    <x v="136"/>
    <x v="164"/>
    <n v="0.53400000000000003"/>
    <x v="164"/>
    <n v="11.23097038"/>
    <n v="4.4252923580000001"/>
    <n v="2209.7952019999998"/>
    <n v="6"/>
    <n v="165"/>
    <x v="3"/>
  </r>
  <r>
    <x v="137"/>
    <x v="165"/>
    <n v="0.52500000000000002"/>
    <x v="165"/>
    <n v="10.766679760000001"/>
    <n v="4.3047864450000004"/>
    <n v="3408.9659230000002"/>
    <n v="-7"/>
    <n v="166"/>
    <x v="3"/>
  </r>
  <r>
    <x v="137"/>
    <x v="166"/>
    <n v="0.52500000000000002"/>
    <x v="166"/>
    <n v="10.14986994"/>
    <n v="5.7309415660000003"/>
    <n v="2181.43651"/>
    <n v="6"/>
    <n v="166"/>
    <x v="3"/>
  </r>
  <r>
    <x v="138"/>
    <x v="167"/>
    <n v="0.51400000000000001"/>
    <x v="167"/>
    <n v="12.04087801"/>
    <n v="6.0101847069999996"/>
    <n v="2700.4357479999999"/>
    <n v="-2"/>
    <n v="168"/>
    <x v="3"/>
  </r>
  <r>
    <x v="139"/>
    <x v="168"/>
    <n v="0.51200000000000001"/>
    <x v="168"/>
    <n v="12.67898523"/>
    <n v="4.4896953850000001"/>
    <n v="1465.6350640000001"/>
    <n v="13"/>
    <n v="169"/>
    <x v="3"/>
  </r>
  <r>
    <x v="140"/>
    <x v="169"/>
    <n v="0.51100000000000001"/>
    <x v="169"/>
    <n v="8.9637498860000004"/>
    <n v="2.937938258"/>
    <n v="3344.3118250000002"/>
    <n v="-10"/>
    <n v="170"/>
    <x v="3"/>
  </r>
  <r>
    <x v="141"/>
    <x v="170"/>
    <n v="0.50900000000000001"/>
    <x v="170"/>
    <n v="7.4329799999999997"/>
    <n v="4.0999999999999996"/>
    <n v="5024.9939439999998"/>
    <n v="-32"/>
    <n v="171"/>
    <x v="3"/>
  </r>
  <r>
    <x v="142"/>
    <x v="171"/>
    <n v="0.50800000000000001"/>
    <x v="171"/>
    <n v="7.9451878579999997"/>
    <n v="3.82"/>
    <n v="3575.1908400000002"/>
    <n v="-14"/>
    <n v="171"/>
    <x v="3"/>
  </r>
  <r>
    <x v="143"/>
    <x v="172"/>
    <n v="0.501"/>
    <x v="172"/>
    <n v="10.13499142"/>
    <n v="5.1204685339999996"/>
    <n v="1483.5209829999999"/>
    <n v="8"/>
    <n v="173"/>
    <x v="3"/>
  </r>
  <r>
    <x v="144"/>
    <x v="173"/>
    <n v="0.5"/>
    <x v="173"/>
    <n v="9.4186262989999996"/>
    <n v="4.6374874110000004"/>
    <n v="2172.207664"/>
    <n v="-1"/>
    <n v="173"/>
    <x v="3"/>
  </r>
  <r>
    <x v="145"/>
    <x v="174"/>
    <n v="0.498"/>
    <x v="174"/>
    <n v="9.6510714209999993"/>
    <n v="3.2015206809999999"/>
    <n v="2361.0696039999998"/>
    <n v="-5"/>
    <n v="175"/>
    <x v="3"/>
  </r>
  <r>
    <x v="146"/>
    <x v="175"/>
    <n v="0.49199999999999999"/>
    <x v="175"/>
    <n v="8.0645246279999991"/>
    <n v="4.8872352000000001"/>
    <n v="1728.742667"/>
    <n v="3"/>
    <n v="176"/>
    <x v="3"/>
  </r>
  <r>
    <x v="147"/>
    <x v="176"/>
    <n v="0.48299999999999998"/>
    <x v="176"/>
    <n v="10.61306278"/>
    <n v="3.5837189999999999"/>
    <n v="1908.2415900000001"/>
    <n v="0"/>
    <n v="177"/>
    <x v="3"/>
  </r>
  <r>
    <x v="148"/>
    <x v="177"/>
    <n v="0.48099999999999998"/>
    <x v="177"/>
    <n v="10.42078972"/>
    <n v="5.0819999999999999"/>
    <n v="1288.74235"/>
    <n v="7"/>
    <n v="179"/>
    <x v="3"/>
  </r>
  <r>
    <x v="149"/>
    <x v="178"/>
    <n v="0.47899999999999998"/>
    <x v="178"/>
    <n v="9.8178644510000002"/>
    <n v="7.0186965160000003"/>
    <n v="1076.0987809999999"/>
    <n v="9"/>
    <n v="180"/>
    <x v="3"/>
  </r>
  <r>
    <x v="150"/>
    <x v="179"/>
    <n v="0.47799999999999998"/>
    <x v="179"/>
    <n v="10.263843980000001"/>
    <n v="2.98506999"/>
    <n v="1824.1909149999999"/>
    <n v="-2"/>
    <n v="177"/>
    <x v="3"/>
  </r>
  <r>
    <x v="151"/>
    <x v="180"/>
    <n v="0.47699999999999998"/>
    <x v="180"/>
    <n v="9.5733910899999994"/>
    <n v="4.5760812849999999"/>
    <n v="1621.512579"/>
    <n v="-1"/>
    <n v="181"/>
    <x v="3"/>
  </r>
  <r>
    <x v="152"/>
    <x v="181"/>
    <n v="0.46500000000000002"/>
    <x v="181"/>
    <n v="9.8052974650000007"/>
    <n v="2.2021259519999998"/>
    <n v="2480.8871819999999"/>
    <n v="-13"/>
    <n v="182"/>
    <x v="3"/>
  </r>
  <r>
    <x v="153"/>
    <x v="182"/>
    <n v="0.45500000000000002"/>
    <x v="182"/>
    <n v="9.0987100600000002"/>
    <n v="3.2"/>
    <n v="1314.2701890000001"/>
    <n v="1"/>
    <n v="183"/>
    <x v="3"/>
  </r>
  <r>
    <x v="154"/>
    <x v="183"/>
    <n v="0.44900000000000001"/>
    <x v="183"/>
    <n v="9.1421003340000002"/>
    <n v="2.1149622589999999"/>
    <n v="2117.9159159999999"/>
    <n v="-8"/>
    <n v="185"/>
    <x v="3"/>
  </r>
  <r>
    <x v="155"/>
    <x v="184"/>
    <n v="0.44600000000000001"/>
    <x v="184"/>
    <n v="10.2191516"/>
    <n v="3.197641838"/>
    <n v="1198.073924"/>
    <n v="2"/>
    <n v="184"/>
    <x v="3"/>
  </r>
  <r>
    <x v="156"/>
    <x v="185"/>
    <n v="0.42799999999999999"/>
    <x v="185"/>
    <n v="7.4230376170000003"/>
    <n v="2.31"/>
    <n v="2132.6294429999998"/>
    <n v="-11"/>
    <n v="186"/>
    <x v="3"/>
  </r>
  <r>
    <x v="157"/>
    <x v="186"/>
    <n v="0.42599999999999999"/>
    <x v="186"/>
    <n v="10.722721890000001"/>
    <n v="3.1292668830000001"/>
    <n v="731.7867086"/>
    <n v="4"/>
    <n v="187"/>
    <x v="3"/>
  </r>
  <r>
    <x v="158"/>
    <x v="187"/>
    <n v="0.40400000000000003"/>
    <x v="187"/>
    <n v="8.0401717139999995"/>
    <n v="4.3339999999999996"/>
    <n v="966.05861070000003"/>
    <n v="1"/>
    <n v="188"/>
    <x v="3"/>
  </r>
  <r>
    <x v="159"/>
    <x v="188"/>
    <n v="0.4"/>
    <x v="188"/>
    <n v="6.9571119880000003"/>
    <n v="2.1167172989999998"/>
    <n v="1239.8669359999999"/>
    <n v="-3"/>
    <n v="189"/>
    <x v="3"/>
  </r>
  <r>
    <x v="160"/>
    <x v="189"/>
    <n v="0.39400000000000002"/>
    <x v="189"/>
    <n v="8.0359143339999992"/>
    <n v="2.5737742099999998"/>
    <n v="1364.1694170000001"/>
    <n v="-7"/>
    <n v="190"/>
    <x v="3"/>
  </r>
  <r>
    <x v="161"/>
    <x v="190"/>
    <n v="0.38500000000000001"/>
    <x v="190"/>
    <n v="5.54251"/>
    <n v="5.7261400220000001"/>
    <n v="767.78700000000003"/>
    <n v="-1"/>
    <n v="19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CBE865-A95E-4726-9E2D-6105D8D4C933}" name="PivotTable15" cacheId="666"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2">
  <location ref="A70:C93" firstHeaderRow="1" firstDataRow="1" firstDataCol="2"/>
  <pivotFields count="10">
    <pivotField compact="0" numFmtId="164" showAll="0"/>
    <pivotField axis="axisRow" compact="0" showAll="0" sortType="descending">
      <items count="192">
        <item h="1" x="179"/>
        <item h="1" x="66"/>
        <item h="1" x="90"/>
        <item h="1" x="39"/>
        <item h="1" x="147"/>
        <item h="1" x="70"/>
        <item h="1" x="46"/>
        <item h="1" x="84"/>
        <item h="1" x="4"/>
        <item h="1" x="24"/>
        <item h="1" x="91"/>
        <item h="1" x="54"/>
        <item h="1" x="34"/>
        <item x="128"/>
        <item h="1" x="69"/>
        <item h="1" x="59"/>
        <item h="1" x="12"/>
        <item h="1" x="122"/>
        <item h="1" x="165"/>
        <item h="1" x="126"/>
        <item h="1" x="117"/>
        <item h="1" x="73"/>
        <item h="1" x="116"/>
        <item h="1" x="86"/>
        <item h="1" x="50"/>
        <item h="1" x="67"/>
        <item h="1" x="183"/>
        <item h="1" x="186"/>
        <item h="1" x="127"/>
        <item h="1" x="145"/>
        <item h="1" x="150"/>
        <item h="1" x="14"/>
        <item h="1" x="187"/>
        <item h="1" x="189"/>
        <item h="1" x="41"/>
        <item x="78"/>
        <item h="1" x="87"/>
        <item h="1" x="155"/>
        <item h="1" x="152"/>
        <item h="1" x="178"/>
        <item h="1" x="57"/>
        <item h="1" x="158"/>
        <item h="1" x="40"/>
        <item h="1" x="82"/>
        <item h="1" x="28"/>
        <item h="1" x="31"/>
        <item h="1" x="5"/>
        <item h="1" x="170"/>
        <item h="1" x="101"/>
        <item h="1" x="79"/>
        <item h="1" x="94"/>
        <item h="1" x="96"/>
        <item h="1" x="124"/>
        <item h="1" x="144"/>
        <item h="1" x="175"/>
        <item h="1" x="30"/>
        <item h="1" x="143"/>
        <item h="1" x="174"/>
        <item h="1" x="98"/>
        <item h="1" x="10"/>
        <item h="1" x="27"/>
        <item h="1" x="111"/>
        <item h="1" x="173"/>
        <item h="1" x="62"/>
        <item h="1" x="8"/>
        <item h="1" x="132"/>
        <item h="1" x="32"/>
        <item h="1" x="68"/>
        <item h="1" x="134"/>
        <item h="1" x="181"/>
        <item h="1" x="176"/>
        <item h="1" x="107"/>
        <item h="1" x="162"/>
        <item h="1" x="136"/>
        <item x="3"/>
        <item h="1" x="45"/>
        <item h="1" x="2"/>
        <item h="1" x="131"/>
        <item h="1" x="113"/>
        <item h="1" x="75"/>
        <item h="1" x="120"/>
        <item h="1" x="7"/>
        <item h="1" x="21"/>
        <item h="1" x="29"/>
        <item h="1" x="109"/>
        <item x="18"/>
        <item h="1" x="102"/>
        <item h="1" x="55"/>
        <item h="1" x="151"/>
        <item h="1" x="135"/>
        <item h="1" x="19"/>
        <item h="1" x="49"/>
        <item h="1" x="118"/>
        <item h="1" x="139"/>
        <item h="1" x="38"/>
        <item h="1" x="112"/>
        <item h="1" x="167"/>
        <item h="1" x="177"/>
        <item h="1" x="103"/>
        <item h="1" x="15"/>
        <item h="1" x="35"/>
        <item h="1" x="16"/>
        <item h="1" x="172"/>
        <item h="1" x="168"/>
        <item h="1" x="61"/>
        <item h="1" x="89"/>
        <item h="1" x="185"/>
        <item h="1" x="22"/>
        <item h="1" x="130"/>
        <item h="1" x="157"/>
        <item h="1" x="63"/>
        <item h="1" x="85"/>
        <item h="1" x="133"/>
        <item h="1" x="80"/>
        <item h="1" x="95"/>
        <item h="1" x="48"/>
        <item h="1" x="123"/>
        <item h="1" x="184"/>
        <item h="1" x="148"/>
        <item h="1" x="138"/>
        <item h="1" x="142"/>
        <item h="1" x="9"/>
        <item h="1" x="13"/>
        <item h="1" x="125"/>
        <item h="1" x="188"/>
        <item h="1" x="163"/>
        <item h="1" x="77"/>
        <item h="1" x="1"/>
        <item h="1" x="53"/>
        <item x="160"/>
        <item h="1" x="81"/>
        <item h="1" x="105"/>
        <item h="1" x="60"/>
        <item h="1" x="156"/>
        <item h="1" x="104"/>
        <item h="1" x="83"/>
        <item h="1" x="115"/>
        <item x="33"/>
        <item h="1" x="37"/>
        <item h="1" x="42"/>
        <item h="1" x="52"/>
        <item h="1" x="51"/>
        <item h="1" x="164"/>
        <item h="1" x="74"/>
        <item h="1" x="106"/>
        <item h="1" x="88"/>
        <item h="1" x="110"/>
        <item h="1" x="43"/>
        <item h="1" x="137"/>
        <item h="1" x="36"/>
        <item h="1" x="169"/>
        <item h="1" x="64"/>
        <item h="1" x="71"/>
        <item h="1" x="180"/>
        <item h="1" x="11"/>
        <item h="1" x="44"/>
        <item h="1" x="23"/>
        <item h="1" x="154"/>
        <item x="108"/>
        <item x="190"/>
        <item h="1" x="26"/>
        <item h="1" x="72"/>
        <item h="1" x="171"/>
        <item h="1" x="99"/>
        <item h="1" x="6"/>
        <item h="1" x="0"/>
        <item h="1" x="149"/>
        <item h="1" x="121"/>
        <item h="1" x="159"/>
        <item h="1" x="65"/>
        <item h="1" x="140"/>
        <item h="1" x="161"/>
        <item h="1" x="92"/>
        <item h="1" x="56"/>
        <item h="1" x="97"/>
        <item h="1" x="47"/>
        <item h="1" x="93"/>
        <item h="1" x="129"/>
        <item h="1" x="166"/>
        <item h="1" x="76"/>
        <item h="1" x="25"/>
        <item h="1" x="17"/>
        <item x="20"/>
        <item h="1" x="58"/>
        <item h="1" x="100"/>
        <item h="1" x="141"/>
        <item h="1" x="119"/>
        <item x="114"/>
        <item x="182"/>
        <item h="1" x="153"/>
        <item h="1" x="146"/>
        <item t="default"/>
      </items>
      <autoSortScope>
        <pivotArea dataOnly="0" outline="0" fieldPosition="0">
          <references count="1">
            <reference field="4294967294" count="1" selected="0">
              <x v="0"/>
            </reference>
          </references>
        </pivotArea>
      </autoSortScope>
    </pivotField>
    <pivotField compact="0" numFmtId="165" showAll="0"/>
    <pivotField compact="0" numFmtId="166" showAll="0"/>
    <pivotField compact="0" numFmtId="166" showAll="0"/>
    <pivotField compact="0" numFmtId="166" showAll="0"/>
    <pivotField compact="0" numFmtId="164" showAll="0"/>
    <pivotField dataField="1" compact="0" numFmtId="164" showAll="0"/>
    <pivotField compact="0" numFmtId="164" showAll="0"/>
    <pivotField axis="axisRow" compact="0" showAll="0">
      <items count="5">
        <item x="1"/>
        <item x="3"/>
        <item x="2"/>
        <item x="0"/>
        <item t="default"/>
      </items>
    </pivotField>
  </pivotFields>
  <rowFields count="2">
    <field x="1"/>
    <field x="9"/>
  </rowFields>
  <rowItems count="23">
    <i>
      <x v="85"/>
    </i>
    <i r="1">
      <x v="3"/>
    </i>
    <i>
      <x v="137"/>
    </i>
    <i r="1">
      <x v="3"/>
    </i>
    <i>
      <x v="187"/>
    </i>
    <i r="1">
      <x/>
    </i>
    <i>
      <x v="74"/>
    </i>
    <i r="1">
      <x v="3"/>
    </i>
    <i>
      <x v="13"/>
    </i>
    <i r="1">
      <x v="2"/>
    </i>
    <i>
      <x v="188"/>
    </i>
    <i r="1">
      <x v="1"/>
    </i>
    <i>
      <x v="159"/>
    </i>
    <i r="1">
      <x v="1"/>
    </i>
    <i>
      <x v="35"/>
    </i>
    <i r="1">
      <x/>
    </i>
    <i>
      <x v="182"/>
    </i>
    <i r="1">
      <x v="3"/>
    </i>
    <i>
      <x v="158"/>
    </i>
    <i r="1">
      <x/>
    </i>
    <i>
      <x v="129"/>
    </i>
    <i r="1">
      <x v="1"/>
    </i>
    <i t="grand">
      <x/>
    </i>
  </rowItems>
  <colItems count="1">
    <i/>
  </colItems>
  <dataFields count="1">
    <dataField name="Sum of GNI per capita rank minus HDI rank" fld="7" baseField="0" baseItem="0" numFmtId="164"/>
  </dataFields>
  <chartFormats count="2">
    <chartFormat chart="0" format="12" series="1">
      <pivotArea type="data" outline="0" fieldPosition="0">
        <references count="1">
          <reference field="4294967294" count="1" selected="0">
            <x v="0"/>
          </reference>
        </references>
      </pivotArea>
    </chartFormat>
    <chartFormat chart="2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193B4-29C6-4311-8E36-746B64AF94D3}" name="PivotTable2" cacheId="66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location ref="A35:C46" firstHeaderRow="0" firstDataRow="1" firstDataCol="1"/>
  <pivotFields count="10">
    <pivotField numFmtId="164"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pivotField>
    <pivotField axis="axisRow" multipleItemSelectionAllowed="1" showAll="0" sortType="descending" defaultSubtotal="0">
      <items count="191">
        <item h="1" x="179"/>
        <item h="1" x="66"/>
        <item h="1" x="90"/>
        <item h="1" x="39"/>
        <item h="1" x="147"/>
        <item h="1" x="70"/>
        <item h="1" x="46"/>
        <item h="1" x="84"/>
        <item h="1" x="4"/>
        <item h="1" x="24"/>
        <item h="1" x="91"/>
        <item h="1" x="54"/>
        <item h="1" x="34"/>
        <item x="128"/>
        <item h="1" x="69"/>
        <item h="1" x="59"/>
        <item h="1" x="12"/>
        <item h="1" x="122"/>
        <item h="1" x="165"/>
        <item h="1" x="126"/>
        <item h="1" x="117"/>
        <item h="1" x="73"/>
        <item h="1" x="116"/>
        <item h="1" x="86"/>
        <item h="1" x="50"/>
        <item h="1" x="67"/>
        <item h="1" x="183"/>
        <item h="1" x="186"/>
        <item h="1" x="127"/>
        <item h="1" x="145"/>
        <item h="1" x="150"/>
        <item h="1" x="14"/>
        <item h="1" x="187"/>
        <item h="1" x="189"/>
        <item h="1" x="41"/>
        <item x="78"/>
        <item h="1" x="87"/>
        <item h="1" x="155"/>
        <item h="1" x="152"/>
        <item h="1" x="178"/>
        <item h="1" x="57"/>
        <item h="1" x="158"/>
        <item h="1" x="40"/>
        <item h="1" x="82"/>
        <item h="1" x="28"/>
        <item h="1" x="31"/>
        <item h="1" x="5"/>
        <item h="1" x="170"/>
        <item h="1" x="101"/>
        <item h="1" x="79"/>
        <item h="1" x="94"/>
        <item h="1" x="96"/>
        <item h="1" x="124"/>
        <item h="1" x="144"/>
        <item h="1" x="175"/>
        <item h="1" x="30"/>
        <item h="1" x="143"/>
        <item h="1" x="174"/>
        <item h="1" x="98"/>
        <item h="1" x="10"/>
        <item h="1" x="27"/>
        <item h="1" x="111"/>
        <item h="1" x="173"/>
        <item h="1" x="62"/>
        <item h="1" x="8"/>
        <item h="1" x="132"/>
        <item h="1" x="32"/>
        <item h="1" x="68"/>
        <item h="1" x="134"/>
        <item h="1" x="181"/>
        <item h="1" x="176"/>
        <item h="1" x="107"/>
        <item h="1" x="162"/>
        <item h="1" x="136"/>
        <item x="3"/>
        <item h="1" x="45"/>
        <item h="1" x="2"/>
        <item x="131"/>
        <item h="1" x="113"/>
        <item h="1" x="75"/>
        <item h="1" x="120"/>
        <item h="1" x="7"/>
        <item h="1" x="21"/>
        <item h="1" x="29"/>
        <item h="1" x="109"/>
        <item x="18"/>
        <item h="1" x="102"/>
        <item h="1" x="55"/>
        <item h="1" x="151"/>
        <item h="1" x="135"/>
        <item h="1" x="19"/>
        <item h="1" x="49"/>
        <item h="1" x="118"/>
        <item h="1" x="139"/>
        <item h="1" x="38"/>
        <item h="1" x="112"/>
        <item h="1" x="167"/>
        <item h="1" x="177"/>
        <item h="1" x="103"/>
        <item h="1" x="15"/>
        <item h="1" x="35"/>
        <item h="1" x="16"/>
        <item h="1" x="172"/>
        <item h="1" x="168"/>
        <item h="1" x="61"/>
        <item h="1" x="89"/>
        <item h="1" x="185"/>
        <item h="1" x="22"/>
        <item h="1" x="130"/>
        <item h="1" x="157"/>
        <item h="1" x="63"/>
        <item h="1" x="85"/>
        <item h="1" x="133"/>
        <item h="1" x="80"/>
        <item h="1" x="95"/>
        <item h="1" x="48"/>
        <item h="1" x="123"/>
        <item h="1" x="184"/>
        <item h="1" x="148"/>
        <item h="1" x="138"/>
        <item h="1" x="142"/>
        <item h="1" x="9"/>
        <item h="1" x="13"/>
        <item h="1" x="125"/>
        <item h="1" x="188"/>
        <item h="1" x="163"/>
        <item h="1" x="77"/>
        <item h="1" x="1"/>
        <item h="1" x="53"/>
        <item x="160"/>
        <item h="1" x="81"/>
        <item h="1" x="105"/>
        <item h="1" x="60"/>
        <item h="1" x="156"/>
        <item h="1" x="104"/>
        <item h="1" x="83"/>
        <item h="1" x="115"/>
        <item x="33"/>
        <item h="1" x="37"/>
        <item h="1" x="42"/>
        <item h="1" x="52"/>
        <item h="1" x="51"/>
        <item h="1" x="164"/>
        <item h="1" x="74"/>
        <item h="1" x="106"/>
        <item h="1" x="88"/>
        <item h="1" x="110"/>
        <item h="1" x="43"/>
        <item h="1" x="137"/>
        <item h="1" x="36"/>
        <item h="1" x="169"/>
        <item h="1" x="64"/>
        <item h="1" x="71"/>
        <item h="1" x="180"/>
        <item h="1" x="11"/>
        <item h="1" x="44"/>
        <item h="1" x="23"/>
        <item h="1" x="154"/>
        <item x="108"/>
        <item h="1" x="190"/>
        <item h="1" x="26"/>
        <item h="1" x="72"/>
        <item h="1" x="171"/>
        <item h="1" x="99"/>
        <item h="1" x="6"/>
        <item h="1" x="0"/>
        <item h="1" x="149"/>
        <item h="1" x="121"/>
        <item h="1" x="159"/>
        <item h="1" x="65"/>
        <item h="1" x="140"/>
        <item h="1" x="161"/>
        <item h="1" x="92"/>
        <item h="1" x="56"/>
        <item h="1" x="97"/>
        <item h="1" x="47"/>
        <item h="1" x="93"/>
        <item h="1" x="129"/>
        <item h="1" x="166"/>
        <item h="1" x="76"/>
        <item h="1" x="25"/>
        <item h="1" x="17"/>
        <item x="20"/>
        <item h="1" x="58"/>
        <item h="1" x="100"/>
        <item h="1" x="141"/>
        <item h="1" x="119"/>
        <item x="114"/>
        <item x="182"/>
        <item h="1" x="153"/>
        <item h="1" x="146"/>
      </items>
      <autoSortScope>
        <pivotArea dataOnly="0" outline="0" fieldPosition="0">
          <references count="1">
            <reference field="4294967294" count="1" selected="0">
              <x v="0"/>
            </reference>
          </references>
        </pivotArea>
      </autoSortScope>
    </pivotField>
    <pivotField numFmtId="165" showAll="0" defaultSubtotal="0"/>
    <pivotField numFmtId="166" showAll="0" defaultSubtotal="0"/>
    <pivotField dataField="1" numFmtId="166" showAll="0" defaultSubtotal="0"/>
    <pivotField dataField="1" numFmtId="166" showAll="0" defaultSubtotal="0"/>
    <pivotField numFmtId="164" showAll="0" defaultSubtotal="0"/>
    <pivotField numFmtId="164" showAll="0" defaultSubtotal="0"/>
    <pivotField numFmtId="164" showAll="0" defaultSubtotal="0"/>
    <pivotField showAll="0" defaultSubtotal="0"/>
  </pivotFields>
  <rowFields count="1">
    <field x="1"/>
  </rowFields>
  <rowItems count="11">
    <i>
      <x v="74"/>
    </i>
    <i>
      <x v="182"/>
    </i>
    <i>
      <x v="137"/>
    </i>
    <i>
      <x v="85"/>
    </i>
    <i>
      <x v="35"/>
    </i>
    <i>
      <x v="158"/>
    </i>
    <i>
      <x v="187"/>
    </i>
    <i>
      <x v="13"/>
    </i>
    <i>
      <x v="77"/>
    </i>
    <i>
      <x v="188"/>
    </i>
    <i>
      <x v="129"/>
    </i>
  </rowItems>
  <colFields count="1">
    <field x="-2"/>
  </colFields>
  <colItems count="2">
    <i>
      <x/>
    </i>
    <i i="1">
      <x v="1"/>
    </i>
  </colItems>
  <dataFields count="2">
    <dataField name="Expected years of schooling (kids)" fld="4" subtotal="average" baseField="1" baseItem="13" numFmtId="166"/>
    <dataField name="Mean years of schooling(adults)" fld="5" subtotal="average" baseField="1" baseItem="13" numFmtId="166"/>
  </dataFields>
  <chartFormats count="4">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9" format="4"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DD5CF-133C-4A97-83C4-0A0175663AE4}" name="PivotTable3" cacheId="66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0">
  <location ref="A3:C14" firstHeaderRow="1" firstDataRow="1" firstDataCol="2"/>
  <pivotFields count="10">
    <pivotField compact="0" numFmtId="164" outline="0" showAll="0" defaultSubtotal="0"/>
    <pivotField axis="axisRow" compact="0" outline="0" multipleItemSelectionAllowed="1" showAll="0" sortType="descending" defaultSubtotal="0">
      <items count="191">
        <item h="1" x="179"/>
        <item h="1" x="66"/>
        <item h="1" x="90"/>
        <item h="1" x="39"/>
        <item h="1" x="147"/>
        <item h="1" x="70"/>
        <item h="1" x="46"/>
        <item h="1" x="84"/>
        <item h="1" x="4"/>
        <item h="1" x="24"/>
        <item h="1" x="91"/>
        <item h="1" x="54"/>
        <item h="1" x="34"/>
        <item x="128"/>
        <item h="1" x="69"/>
        <item h="1" x="59"/>
        <item h="1" x="12"/>
        <item h="1" x="122"/>
        <item h="1" x="165"/>
        <item h="1" x="126"/>
        <item h="1" x="117"/>
        <item h="1" x="73"/>
        <item h="1" x="116"/>
        <item h="1" x="86"/>
        <item h="1" x="50"/>
        <item h="1" x="67"/>
        <item h="1" x="183"/>
        <item h="1" x="186"/>
        <item h="1" x="127"/>
        <item h="1" x="145"/>
        <item h="1" x="150"/>
        <item h="1" x="14"/>
        <item h="1" x="187"/>
        <item h="1" x="189"/>
        <item h="1" x="41"/>
        <item x="78"/>
        <item h="1" x="87"/>
        <item h="1" x="155"/>
        <item h="1" x="152"/>
        <item h="1" x="178"/>
        <item h="1" x="57"/>
        <item h="1" x="158"/>
        <item h="1" x="40"/>
        <item h="1" x="82"/>
        <item h="1" x="28"/>
        <item h="1" x="31"/>
        <item h="1" x="5"/>
        <item h="1" x="170"/>
        <item h="1" x="101"/>
        <item h="1" x="79"/>
        <item h="1" x="94"/>
        <item h="1" x="96"/>
        <item h="1" x="124"/>
        <item h="1" x="144"/>
        <item h="1" x="175"/>
        <item h="1" x="30"/>
        <item h="1" x="143"/>
        <item h="1" x="174"/>
        <item h="1" x="98"/>
        <item h="1" x="10"/>
        <item h="1" x="27"/>
        <item h="1" x="111"/>
        <item h="1" x="173"/>
        <item h="1" x="62"/>
        <item h="1" x="8"/>
        <item h="1" x="132"/>
        <item h="1" x="32"/>
        <item h="1" x="68"/>
        <item h="1" x="134"/>
        <item h="1" x="181"/>
        <item h="1" x="176"/>
        <item h="1" x="107"/>
        <item h="1" x="162"/>
        <item h="1" x="136"/>
        <item x="3"/>
        <item h="1" x="45"/>
        <item h="1" x="2"/>
        <item x="131"/>
        <item h="1" x="113"/>
        <item h="1" x="75"/>
        <item h="1" x="120"/>
        <item h="1" x="7"/>
        <item h="1" x="21"/>
        <item h="1" x="29"/>
        <item h="1" x="109"/>
        <item x="18"/>
        <item h="1" x="102"/>
        <item h="1" x="55"/>
        <item h="1" x="151"/>
        <item h="1" x="135"/>
        <item h="1" x="19"/>
        <item h="1" x="49"/>
        <item h="1" x="118"/>
        <item h="1" x="139"/>
        <item h="1" x="38"/>
        <item h="1" x="112"/>
        <item h="1" x="167"/>
        <item h="1" x="177"/>
        <item h="1" x="103"/>
        <item h="1" x="15"/>
        <item h="1" x="35"/>
        <item h="1" x="16"/>
        <item h="1" x="172"/>
        <item h="1" x="168"/>
        <item h="1" x="61"/>
        <item h="1" x="89"/>
        <item h="1" x="185"/>
        <item h="1" x="22"/>
        <item h="1" x="130"/>
        <item h="1" x="157"/>
        <item h="1" x="63"/>
        <item h="1" x="85"/>
        <item h="1" x="133"/>
        <item h="1" x="80"/>
        <item h="1" x="95"/>
        <item h="1" x="48"/>
        <item h="1" x="123"/>
        <item h="1" x="184"/>
        <item h="1" x="148"/>
        <item h="1" x="138"/>
        <item h="1" x="142"/>
        <item h="1" x="9"/>
        <item h="1" x="13"/>
        <item h="1" x="125"/>
        <item h="1" x="188"/>
        <item h="1" x="163"/>
        <item h="1" x="77"/>
        <item h="1" x="1"/>
        <item h="1" x="53"/>
        <item x="160"/>
        <item h="1" x="81"/>
        <item h="1" x="105"/>
        <item h="1" x="60"/>
        <item h="1" x="156"/>
        <item h="1" x="104"/>
        <item h="1" x="83"/>
        <item h="1" x="115"/>
        <item x="33"/>
        <item h="1" x="37"/>
        <item h="1" x="42"/>
        <item h="1" x="52"/>
        <item h="1" x="51"/>
        <item h="1" x="164"/>
        <item h="1" x="74"/>
        <item h="1" x="106"/>
        <item h="1" x="88"/>
        <item h="1" x="110"/>
        <item h="1" x="43"/>
        <item h="1" x="137"/>
        <item h="1" x="36"/>
        <item h="1" x="169"/>
        <item h="1" x="64"/>
        <item h="1" x="71"/>
        <item h="1" x="180"/>
        <item h="1" x="11"/>
        <item h="1" x="44"/>
        <item h="1" x="23"/>
        <item h="1" x="154"/>
        <item x="108"/>
        <item h="1" x="190"/>
        <item h="1" x="26"/>
        <item h="1" x="72"/>
        <item h="1" x="171"/>
        <item h="1" x="99"/>
        <item h="1" x="6"/>
        <item h="1" x="0"/>
        <item h="1" x="149"/>
        <item h="1" x="121"/>
        <item h="1" x="159"/>
        <item h="1" x="65"/>
        <item h="1" x="140"/>
        <item h="1" x="161"/>
        <item h="1" x="92"/>
        <item h="1" x="56"/>
        <item h="1" x="97"/>
        <item h="1" x="47"/>
        <item h="1" x="93"/>
        <item h="1" x="129"/>
        <item h="1" x="166"/>
        <item h="1" x="76"/>
        <item h="1" x="25"/>
        <item h="1" x="17"/>
        <item x="20"/>
        <item h="1" x="58"/>
        <item h="1" x="100"/>
        <item h="1" x="141"/>
        <item h="1" x="119"/>
        <item x="114"/>
        <item x="182"/>
        <item h="1" x="153"/>
        <item h="1" x="146"/>
      </items>
      <autoSortScope>
        <pivotArea dataOnly="0" outline="0" fieldPosition="0">
          <references count="1">
            <reference field="4294967294" count="1" selected="0">
              <x v="0"/>
            </reference>
          </references>
        </pivotArea>
      </autoSortScope>
    </pivotField>
    <pivotField dataField="1" compact="0" numFmtId="165" outline="0" showAll="0" defaultSubtotal="0"/>
    <pivotField axis="axisRow" compact="0" numFmtId="166" outline="0" showAll="0" defaultSubtotal="0">
      <items count="191">
        <item x="189"/>
        <item x="163"/>
        <item x="167"/>
        <item x="187"/>
        <item x="190"/>
        <item x="143"/>
        <item x="158"/>
        <item x="181"/>
        <item x="185"/>
        <item x="178"/>
        <item x="146"/>
        <item x="138"/>
        <item x="183"/>
        <item x="184"/>
        <item x="176"/>
        <item x="165"/>
        <item x="180"/>
        <item x="150"/>
        <item x="144"/>
        <item x="177"/>
        <item x="116"/>
        <item x="153"/>
        <item x="151"/>
        <item x="188"/>
        <item x="161"/>
        <item x="147"/>
        <item x="186"/>
        <item x="179"/>
        <item x="173"/>
        <item x="170"/>
        <item x="108"/>
        <item x="166"/>
        <item x="168"/>
        <item x="162"/>
        <item x="155"/>
        <item x="152"/>
        <item x="117"/>
        <item x="182"/>
        <item x="132"/>
        <item x="157"/>
        <item x="172"/>
        <item x="129"/>
        <item x="174"/>
        <item x="171"/>
        <item x="130"/>
        <item x="156"/>
        <item x="148"/>
        <item x="107"/>
        <item x="111"/>
        <item x="81"/>
        <item x="164"/>
        <item x="160"/>
        <item x="159"/>
        <item x="175"/>
        <item x="169"/>
        <item x="98"/>
        <item x="131"/>
        <item x="135"/>
        <item x="113"/>
        <item x="137"/>
        <item x="140"/>
        <item x="139"/>
        <item x="142"/>
        <item x="80"/>
        <item x="134"/>
        <item x="93"/>
        <item x="115"/>
        <item x="55"/>
        <item x="91"/>
        <item x="51"/>
        <item x="145"/>
        <item x="88"/>
        <item x="118"/>
        <item x="136"/>
        <item x="85"/>
        <item x="96"/>
        <item x="104"/>
        <item x="99"/>
        <item x="154"/>
        <item x="120"/>
        <item x="141"/>
        <item x="122"/>
        <item x="109"/>
        <item x="119"/>
        <item x="133"/>
        <item x="124"/>
        <item x="100"/>
        <item x="95"/>
        <item x="92"/>
        <item x="106"/>
        <item x="71"/>
        <item x="121"/>
        <item x="54"/>
        <item x="76"/>
        <item x="74"/>
        <item x="62"/>
        <item x="67"/>
        <item x="126"/>
        <item x="103"/>
        <item x="84"/>
        <item x="149"/>
        <item x="83"/>
        <item x="128"/>
        <item x="59"/>
        <item x="53"/>
        <item x="79"/>
        <item x="86"/>
        <item x="110"/>
        <item x="101"/>
        <item x="87"/>
        <item x="56"/>
        <item x="105"/>
        <item x="63"/>
        <item x="38"/>
        <item x="114"/>
        <item x="94"/>
        <item x="82"/>
        <item x="35"/>
        <item x="97"/>
        <item x="125"/>
        <item x="77"/>
        <item x="75"/>
        <item x="123"/>
        <item x="127"/>
        <item x="52"/>
        <item x="64"/>
        <item x="102"/>
        <item x="45"/>
        <item x="50"/>
        <item x="61"/>
        <item x="44"/>
        <item x="68"/>
        <item x="112"/>
        <item x="73"/>
        <item x="46"/>
        <item x="58"/>
        <item x="47"/>
        <item x="60"/>
        <item x="48"/>
        <item x="90"/>
        <item x="72"/>
        <item x="33"/>
        <item x="66"/>
        <item x="36"/>
        <item x="57"/>
        <item x="30"/>
        <item x="20"/>
        <item x="69"/>
        <item x="40"/>
        <item x="31"/>
        <item x="78"/>
        <item x="70"/>
        <item x="49"/>
        <item x="25"/>
        <item x="65"/>
        <item x="34"/>
        <item x="41"/>
        <item x="42"/>
        <item x="89"/>
        <item x="32"/>
        <item x="39"/>
        <item x="8"/>
        <item x="23"/>
        <item x="17"/>
        <item x="43"/>
        <item x="37"/>
        <item x="28"/>
        <item x="5"/>
        <item x="24"/>
        <item x="9"/>
        <item x="12"/>
        <item x="7"/>
        <item x="10"/>
        <item x="21"/>
        <item x="13"/>
        <item x="27"/>
        <item x="16"/>
        <item x="14"/>
        <item x="2"/>
        <item x="11"/>
        <item x="29"/>
        <item x="6"/>
        <item x="26"/>
        <item x="1"/>
        <item x="15"/>
        <item x="19"/>
        <item x="22"/>
        <item x="0"/>
        <item x="4"/>
        <item x="18"/>
        <item x="3"/>
      </items>
    </pivotField>
    <pivotField compact="0" numFmtId="166" outline="0" showAll="0" defaultSubtotal="0"/>
    <pivotField compact="0" numFmtId="166"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s>
  <rowFields count="2">
    <field x="1"/>
    <field x="3"/>
  </rowFields>
  <rowItems count="11">
    <i>
      <x v="74"/>
      <x v="190"/>
    </i>
    <i>
      <x v="85"/>
      <x v="189"/>
    </i>
    <i>
      <x v="182"/>
      <x v="146"/>
    </i>
    <i>
      <x v="137"/>
      <x v="141"/>
    </i>
    <i>
      <x v="35"/>
      <x v="150"/>
    </i>
    <i>
      <x v="158"/>
      <x v="30"/>
    </i>
    <i>
      <x v="187"/>
      <x v="114"/>
    </i>
    <i>
      <x v="13"/>
      <x v="102"/>
    </i>
    <i>
      <x v="77"/>
      <x v="56"/>
    </i>
    <i>
      <x v="129"/>
      <x v="51"/>
    </i>
    <i>
      <x v="188"/>
      <x v="37"/>
    </i>
  </rowItems>
  <colItems count="1">
    <i/>
  </colItems>
  <dataFields count="1">
    <dataField name="Average Human Development Index (HDI) " fld="2" subtotal="average" baseField="9" baseItem="3" numFmtId="165"/>
  </dataFields>
  <chartFormats count="21">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2">
          <reference field="4294967294" count="1" selected="0">
            <x v="0"/>
          </reference>
          <reference field="1" count="1" selected="0">
            <x v="74"/>
          </reference>
        </references>
      </pivotArea>
    </chartFormat>
    <chartFormat chart="13" format="2" series="1">
      <pivotArea type="data" outline="0" fieldPosition="0">
        <references count="2">
          <reference field="4294967294" count="1" selected="0">
            <x v="0"/>
          </reference>
          <reference field="1" count="1" selected="0">
            <x v="77"/>
          </reference>
        </references>
      </pivotArea>
    </chartFormat>
    <chartFormat chart="13" format="3" series="1">
      <pivotArea type="data" outline="0" fieldPosition="0">
        <references count="2">
          <reference field="4294967294" count="1" selected="0">
            <x v="0"/>
          </reference>
          <reference field="1" count="1" selected="0">
            <x v="85"/>
          </reference>
        </references>
      </pivotArea>
    </chartFormat>
    <chartFormat chart="13" format="4" series="1">
      <pivotArea type="data" outline="0" fieldPosition="0">
        <references count="2">
          <reference field="4294967294" count="1" selected="0">
            <x v="0"/>
          </reference>
          <reference field="1" count="1" selected="0">
            <x v="129"/>
          </reference>
        </references>
      </pivotArea>
    </chartFormat>
    <chartFormat chart="13" format="5" series="1">
      <pivotArea type="data" outline="0" fieldPosition="0">
        <references count="2">
          <reference field="4294967294" count="1" selected="0">
            <x v="0"/>
          </reference>
          <reference field="1" count="1" selected="0">
            <x v="137"/>
          </reference>
        </references>
      </pivotArea>
    </chartFormat>
    <chartFormat chart="13" format="6" series="1">
      <pivotArea type="data" outline="0" fieldPosition="0">
        <references count="2">
          <reference field="4294967294" count="1" selected="0">
            <x v="0"/>
          </reference>
          <reference field="1" count="1" selected="0">
            <x v="158"/>
          </reference>
        </references>
      </pivotArea>
    </chartFormat>
    <chartFormat chart="13" format="7" series="1">
      <pivotArea type="data" outline="0" fieldPosition="0">
        <references count="2">
          <reference field="4294967294" count="1" selected="0">
            <x v="0"/>
          </reference>
          <reference field="1" count="1" selected="0">
            <x v="182"/>
          </reference>
        </references>
      </pivotArea>
    </chartFormat>
    <chartFormat chart="13" format="8" series="1">
      <pivotArea type="data" outline="0" fieldPosition="0">
        <references count="2">
          <reference field="4294967294" count="1" selected="0">
            <x v="0"/>
          </reference>
          <reference field="1" count="1" selected="0">
            <x v="187"/>
          </reference>
        </references>
      </pivotArea>
    </chartFormat>
    <chartFormat chart="13" format="9" series="1">
      <pivotArea type="data" outline="0" fieldPosition="0">
        <references count="2">
          <reference field="4294967294" count="1" selected="0">
            <x v="0"/>
          </reference>
          <reference field="1" count="1" selected="0">
            <x v="188"/>
          </reference>
        </references>
      </pivotArea>
    </chartFormat>
    <chartFormat chart="13" format="10">
      <pivotArea type="data" outline="0" fieldPosition="0">
        <references count="2">
          <reference field="4294967294" count="1" selected="0">
            <x v="0"/>
          </reference>
          <reference field="1" count="1" selected="0">
            <x v="188"/>
          </reference>
        </references>
      </pivotArea>
    </chartFormat>
    <chartFormat chart="13" format="10" series="1">
      <pivotArea type="data" outline="0" fieldPosition="0">
        <references count="3">
          <reference field="4294967294" count="1" selected="0">
            <x v="0"/>
          </reference>
          <reference field="1" count="1" selected="0">
            <x v="74"/>
          </reference>
          <reference field="3" count="1" selected="0">
            <x v="190"/>
          </reference>
        </references>
      </pivotArea>
    </chartFormat>
    <chartFormat chart="13" format="11" series="1">
      <pivotArea type="data" outline="0" fieldPosition="0">
        <references count="3">
          <reference field="4294967294" count="1" selected="0">
            <x v="0"/>
          </reference>
          <reference field="1" count="1" selected="0">
            <x v="77"/>
          </reference>
          <reference field="3" count="1" selected="0">
            <x v="56"/>
          </reference>
        </references>
      </pivotArea>
    </chartFormat>
    <chartFormat chart="13" format="12" series="1">
      <pivotArea type="data" outline="0" fieldPosition="0">
        <references count="3">
          <reference field="4294967294" count="1" selected="0">
            <x v="0"/>
          </reference>
          <reference field="1" count="1" selected="0">
            <x v="85"/>
          </reference>
          <reference field="3" count="1" selected="0">
            <x v="189"/>
          </reference>
        </references>
      </pivotArea>
    </chartFormat>
    <chartFormat chart="13" format="13" series="1">
      <pivotArea type="data" outline="0" fieldPosition="0">
        <references count="3">
          <reference field="4294967294" count="1" selected="0">
            <x v="0"/>
          </reference>
          <reference field="1" count="1" selected="0">
            <x v="129"/>
          </reference>
          <reference field="3" count="1" selected="0">
            <x v="51"/>
          </reference>
        </references>
      </pivotArea>
    </chartFormat>
    <chartFormat chart="13" format="14" series="1">
      <pivotArea type="data" outline="0" fieldPosition="0">
        <references count="3">
          <reference field="4294967294" count="1" selected="0">
            <x v="0"/>
          </reference>
          <reference field="1" count="1" selected="0">
            <x v="137"/>
          </reference>
          <reference field="3" count="1" selected="0">
            <x v="141"/>
          </reference>
        </references>
      </pivotArea>
    </chartFormat>
    <chartFormat chart="13" format="15" series="1">
      <pivotArea type="data" outline="0" fieldPosition="0">
        <references count="3">
          <reference field="4294967294" count="1" selected="0">
            <x v="0"/>
          </reference>
          <reference field="1" count="1" selected="0">
            <x v="158"/>
          </reference>
          <reference field="3" count="1" selected="0">
            <x v="30"/>
          </reference>
        </references>
      </pivotArea>
    </chartFormat>
    <chartFormat chart="13" format="16" series="1">
      <pivotArea type="data" outline="0" fieldPosition="0">
        <references count="3">
          <reference field="4294967294" count="1" selected="0">
            <x v="0"/>
          </reference>
          <reference field="1" count="1" selected="0">
            <x v="182"/>
          </reference>
          <reference field="3" count="1" selected="0">
            <x v="146"/>
          </reference>
        </references>
      </pivotArea>
    </chartFormat>
    <chartFormat chart="13" format="17" series="1">
      <pivotArea type="data" outline="0" fieldPosition="0">
        <references count="3">
          <reference field="4294967294" count="1" selected="0">
            <x v="0"/>
          </reference>
          <reference field="1" count="1" selected="0">
            <x v="187"/>
          </reference>
          <reference field="3" count="1" selected="0">
            <x v="114"/>
          </reference>
        </references>
      </pivotArea>
    </chartFormat>
    <chartFormat chart="13" format="18" series="1">
      <pivotArea type="data" outline="0" fieldPosition="0">
        <references count="3">
          <reference field="4294967294" count="1" selected="0">
            <x v="0"/>
          </reference>
          <reference field="1" count="1" selected="0">
            <x v="13"/>
          </reference>
          <reference field="3" count="1" selected="0">
            <x v="102"/>
          </reference>
        </references>
      </pivotArea>
    </chartFormat>
    <chartFormat chart="47"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DI_Category" xr10:uid="{AF29480D-0F47-405A-AE83-4E8A78A53012}" sourceName="HDI Category">
  <pivotTables>
    <pivotTable tabId="3" name="PivotTable15"/>
  </pivotTables>
  <data>
    <tabular pivotCacheId="185949024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DI_rank_2021" xr10:uid="{1BC1ACD0-1F09-433B-8091-E96D6C4D4135}" sourceName="HDI rank 2021">
  <pivotTables>
    <pivotTable tabId="3" name="PivotTable2"/>
  </pivotTables>
  <data>
    <tabular pivotCacheId="1859490243">
      <items count="162">
        <i x="3" s="1"/>
        <i x="17" s="1"/>
        <i x="18" s="1"/>
        <i x="30" s="1"/>
        <i x="67" s="1"/>
        <i x="88" s="1"/>
        <i x="93" s="1"/>
        <i x="105" s="1"/>
        <i x="108" s="1"/>
        <i x="133" s="1"/>
        <i x="153" s="1"/>
        <i x="0" s="1" nd="1"/>
        <i x="1" s="1" nd="1"/>
        <i x="2" s="1" nd="1"/>
        <i x="4" s="1" nd="1"/>
        <i x="5" s="1" nd="1"/>
        <i x="6" s="1" nd="1"/>
        <i x="7" s="1" nd="1"/>
        <i x="8" s="1" nd="1"/>
        <i x="9" s="1" nd="1"/>
        <i x="10" s="1" nd="1"/>
        <i x="11" s="1" nd="1"/>
        <i x="12" s="1" nd="1"/>
        <i x="13" s="1" nd="1"/>
        <i x="14" s="1" nd="1"/>
        <i x="15" s="1" nd="1"/>
        <i x="16" s="1" nd="1"/>
        <i x="19" s="1" nd="1"/>
        <i x="20" s="1" nd="1"/>
        <i x="21" s="1" nd="1"/>
        <i x="22" s="1" nd="1"/>
        <i x="23" s="1" nd="1"/>
        <i x="24" s="1" nd="1"/>
        <i x="25" s="1" nd="1"/>
        <i x="26" s="1" nd="1"/>
        <i x="27" s="1" nd="1"/>
        <i x="28" s="1" nd="1"/>
        <i x="29"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8" s="1" nd="1"/>
        <i x="69" s="1" nd="1"/>
        <i x="70" s="1" nd="1"/>
        <i x="71" s="1" nd="1"/>
        <i x="72" s="1" nd="1"/>
        <i x="73" s="1" nd="1"/>
        <i x="74" s="1" nd="1"/>
        <i x="75" s="1" nd="1"/>
        <i x="76" s="1" nd="1"/>
        <i x="77" s="1" nd="1"/>
        <i x="78" s="1" nd="1"/>
        <i x="79" s="1" nd="1"/>
        <i x="80" s="1" nd="1"/>
        <i x="81" s="1" nd="1"/>
        <i x="82" s="1" nd="1"/>
        <i x="83" s="1" nd="1"/>
        <i x="84" s="1" nd="1"/>
        <i x="85" s="1" nd="1"/>
        <i x="86" s="1" nd="1"/>
        <i x="87" s="1" nd="1"/>
        <i x="89" s="1" nd="1"/>
        <i x="90" s="1" nd="1"/>
        <i x="91" s="1" nd="1"/>
        <i x="92" s="1" nd="1"/>
        <i x="94" s="1" nd="1"/>
        <i x="95" s="1" nd="1"/>
        <i x="96" s="1" nd="1"/>
        <i x="97" s="1" nd="1"/>
        <i x="98" s="1" nd="1"/>
        <i x="99" s="1" nd="1"/>
        <i x="100" s="1" nd="1"/>
        <i x="101" s="1" nd="1"/>
        <i x="102" s="1" nd="1"/>
        <i x="103" s="1" nd="1"/>
        <i x="104" s="1" nd="1"/>
        <i x="106" s="1" nd="1"/>
        <i x="107"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4" s="1" nd="1"/>
        <i x="135" s="1" nd="1"/>
        <i x="136" s="1" nd="1"/>
        <i x="137" s="1" nd="1"/>
        <i x="138" s="1" nd="1"/>
        <i x="139" s="1" nd="1"/>
        <i x="140" s="1" nd="1"/>
        <i x="141" s="1" nd="1"/>
        <i x="142" s="1" nd="1"/>
        <i x="143" s="1" nd="1"/>
        <i x="144" s="1" nd="1"/>
        <i x="145" s="1" nd="1"/>
        <i x="146" s="1" nd="1"/>
        <i x="147" s="1" nd="1"/>
        <i x="148" s="1" nd="1"/>
        <i x="149" s="1" nd="1"/>
        <i x="150" s="1" nd="1"/>
        <i x="151" s="1" nd="1"/>
        <i x="152" s="1" nd="1"/>
        <i x="154" s="1" nd="1"/>
        <i x="155" s="1" nd="1"/>
        <i x="156" s="1" nd="1"/>
        <i x="157" s="1" nd="1"/>
        <i x="158" s="1" nd="1"/>
        <i x="159" s="1" nd="1"/>
        <i x="160" s="1" nd="1"/>
        <i x="16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69C227E-5F5B-4B46-9162-CA6F80569225}" sourceName="Country">
  <pivotTables>
    <pivotTable tabId="3" name="PivotTable3"/>
  </pivotTables>
  <data>
    <tabular pivotCacheId="1859490243" sortOrder="descending">
      <items count="191">
        <i x="146"/>
        <i x="153"/>
        <i x="182" s="1"/>
        <i x="114" s="1"/>
        <i x="119"/>
        <i x="141"/>
        <i x="100"/>
        <i x="58"/>
        <i x="20" s="1"/>
        <i x="17"/>
        <i x="25"/>
        <i x="76"/>
        <i x="166"/>
        <i x="129"/>
        <i x="93"/>
        <i x="47"/>
        <i x="97"/>
        <i x="56"/>
        <i x="92"/>
        <i x="161"/>
        <i x="140"/>
        <i x="65"/>
        <i x="159"/>
        <i x="121"/>
        <i x="149"/>
        <i x="0"/>
        <i x="6"/>
        <i x="99"/>
        <i x="171"/>
        <i x="72"/>
        <i x="26"/>
        <i x="190"/>
        <i x="108" s="1"/>
        <i x="154"/>
        <i x="23"/>
        <i x="44"/>
        <i x="11"/>
        <i x="180"/>
        <i x="71"/>
        <i x="64"/>
        <i x="169"/>
        <i x="36"/>
        <i x="137"/>
        <i x="43"/>
        <i x="110"/>
        <i x="88"/>
        <i x="106"/>
        <i x="74"/>
        <i x="164"/>
        <i x="51"/>
        <i x="52"/>
        <i x="42"/>
        <i x="37"/>
        <i x="33" s="1"/>
        <i x="115"/>
        <i x="83"/>
        <i x="104"/>
        <i x="156"/>
        <i x="60"/>
        <i x="105"/>
        <i x="81"/>
        <i x="160" s="1"/>
        <i x="53"/>
        <i x="1"/>
        <i x="77"/>
        <i x="163"/>
        <i x="188"/>
        <i x="125"/>
        <i x="13"/>
        <i x="9"/>
        <i x="142"/>
        <i x="138"/>
        <i x="148"/>
        <i x="184"/>
        <i x="123"/>
        <i x="48"/>
        <i x="95"/>
        <i x="80"/>
        <i x="133"/>
        <i x="85"/>
        <i x="63"/>
        <i x="157"/>
        <i x="130"/>
        <i x="22"/>
        <i x="185"/>
        <i x="89"/>
        <i x="61"/>
        <i x="168"/>
        <i x="172"/>
        <i x="16"/>
        <i x="35"/>
        <i x="15"/>
        <i x="103"/>
        <i x="177"/>
        <i x="167"/>
        <i x="112"/>
        <i x="38"/>
        <i x="139"/>
        <i x="118"/>
        <i x="49"/>
        <i x="19"/>
        <i x="135"/>
        <i x="151"/>
        <i x="55"/>
        <i x="102"/>
        <i x="18" s="1"/>
        <i x="109"/>
        <i x="29"/>
        <i x="21"/>
        <i x="7"/>
        <i x="120"/>
        <i x="75"/>
        <i x="113"/>
        <i x="131" s="1"/>
        <i x="2"/>
        <i x="45"/>
        <i x="3" s="1"/>
        <i x="136"/>
        <i x="162"/>
        <i x="107"/>
        <i x="176"/>
        <i x="181"/>
        <i x="134"/>
        <i x="68"/>
        <i x="32"/>
        <i x="132"/>
        <i x="8"/>
        <i x="62"/>
        <i x="173"/>
        <i x="111"/>
        <i x="27"/>
        <i x="10"/>
        <i x="98"/>
        <i x="174"/>
        <i x="143"/>
        <i x="30"/>
        <i x="175"/>
        <i x="144"/>
        <i x="124"/>
        <i x="96"/>
        <i x="94"/>
        <i x="79"/>
        <i x="101"/>
        <i x="170"/>
        <i x="5"/>
        <i x="31"/>
        <i x="28"/>
        <i x="82"/>
        <i x="40"/>
        <i x="158"/>
        <i x="57"/>
        <i x="178"/>
        <i x="152"/>
        <i x="155"/>
        <i x="87"/>
        <i x="78" s="1"/>
        <i x="41"/>
        <i x="189"/>
        <i x="187"/>
        <i x="14"/>
        <i x="150"/>
        <i x="145"/>
        <i x="127"/>
        <i x="186"/>
        <i x="183"/>
        <i x="67"/>
        <i x="50"/>
        <i x="86"/>
        <i x="116"/>
        <i x="73"/>
        <i x="117"/>
        <i x="126"/>
        <i x="165"/>
        <i x="122"/>
        <i x="12"/>
        <i x="59"/>
        <i x="69"/>
        <i x="128" s="1"/>
        <i x="34"/>
        <i x="54"/>
        <i x="91"/>
        <i x="24"/>
        <i x="4"/>
        <i x="84"/>
        <i x="46"/>
        <i x="70"/>
        <i x="147"/>
        <i x="39"/>
        <i x="90"/>
        <i x="66"/>
        <i x="17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DI Category" xr10:uid="{076A71E7-E9CF-4A28-9621-1F190160E712}" cache="Slicer_HDI_Category" caption="HDI Category" rowHeight="234950"/>
  <slicer name="HDI rank 2021" xr10:uid="{906D3D12-1835-45D9-ACBA-AC8811ECD432}" cache="Slicer_HDI_rank_2021" caption="HDI rank 2021" rowHeight="234950"/>
  <slicer name="Country" xr10:uid="{AA23612C-E5A1-4C96-8708-AB5C55D90893}" cache="Slicer_Country"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D1A6-A26D-44C5-90FA-D316938F0CAB}">
  <dimension ref="A1:P276"/>
  <sheetViews>
    <sheetView workbookViewId="0">
      <selection activeCell="B40" sqref="B40"/>
    </sheetView>
  </sheetViews>
  <sheetFormatPr defaultColWidth="8.7109375" defaultRowHeight="11.45"/>
  <cols>
    <col min="1" max="1" width="8.7109375" style="5"/>
    <col min="2" max="2" width="44.7109375" style="5" customWidth="1"/>
    <col min="3" max="3" width="19" style="5" customWidth="1"/>
    <col min="4" max="4" width="6.28515625" style="5" customWidth="1"/>
    <col min="5" max="5" width="23.5703125" style="5" customWidth="1"/>
    <col min="6" max="6" width="4.7109375" style="5" customWidth="1"/>
    <col min="7" max="7" width="22.140625" style="5" customWidth="1"/>
    <col min="8" max="8" width="4.85546875" style="5" customWidth="1"/>
    <col min="9" max="9" width="30.42578125" style="5" customWidth="1"/>
    <col min="10" max="10" width="5" style="5" customWidth="1"/>
    <col min="11" max="11" width="32.7109375" style="5" customWidth="1"/>
    <col min="12" max="12" width="5.140625" style="5" customWidth="1"/>
    <col min="13" max="13" width="21.85546875" style="5" customWidth="1"/>
    <col min="14" max="14" width="4.28515625" style="5" customWidth="1"/>
    <col min="15" max="15" width="14.140625" style="5" customWidth="1"/>
    <col min="16" max="16" width="12.28515625" style="5" customWidth="1"/>
    <col min="17" max="16384" width="8.7109375" style="5"/>
  </cols>
  <sheetData>
    <row r="1" spans="1:16">
      <c r="A1" s="27"/>
      <c r="B1" s="27"/>
      <c r="C1" s="27"/>
      <c r="D1" s="27"/>
      <c r="E1" s="4" t="s">
        <v>0</v>
      </c>
      <c r="F1" s="27"/>
      <c r="G1" s="4" t="s">
        <v>1</v>
      </c>
      <c r="H1" s="27"/>
      <c r="I1" s="4" t="s">
        <v>2</v>
      </c>
      <c r="J1" s="27"/>
      <c r="K1" s="4" t="s">
        <v>3</v>
      </c>
      <c r="L1" s="27"/>
      <c r="M1" s="27"/>
      <c r="N1" s="27"/>
      <c r="O1" s="27"/>
      <c r="P1" s="27"/>
    </row>
    <row r="2" spans="1:16" ht="7.15" customHeight="1">
      <c r="A2" s="27"/>
      <c r="B2" s="27"/>
      <c r="C2" s="27"/>
      <c r="D2" s="27"/>
      <c r="E2" s="4"/>
      <c r="F2" s="27"/>
      <c r="G2" s="4"/>
      <c r="H2" s="27"/>
      <c r="I2" s="4"/>
      <c r="J2" s="27"/>
      <c r="K2" s="4"/>
      <c r="L2" s="27"/>
      <c r="M2" s="27"/>
      <c r="N2" s="27"/>
      <c r="O2" s="27"/>
      <c r="P2" s="27"/>
    </row>
    <row r="3" spans="1:16" ht="22.9">
      <c r="A3" s="6"/>
      <c r="B3" s="27"/>
      <c r="C3" s="7" t="s">
        <v>4</v>
      </c>
      <c r="D3" s="8"/>
      <c r="E3" s="7" t="s">
        <v>5</v>
      </c>
      <c r="F3" s="8"/>
      <c r="G3" s="7" t="s">
        <v>6</v>
      </c>
      <c r="H3" s="8"/>
      <c r="I3" s="7" t="s">
        <v>7</v>
      </c>
      <c r="J3" s="8"/>
      <c r="K3" s="7" t="s">
        <v>8</v>
      </c>
      <c r="L3" s="8"/>
      <c r="M3" s="7" t="s">
        <v>9</v>
      </c>
      <c r="N3" s="8"/>
      <c r="O3" s="7" t="s">
        <v>10</v>
      </c>
      <c r="P3" s="8"/>
    </row>
    <row r="4" spans="1:16">
      <c r="A4" s="9" t="s">
        <v>10</v>
      </c>
      <c r="B4" s="9" t="s">
        <v>11</v>
      </c>
      <c r="C4" s="10" t="s">
        <v>12</v>
      </c>
      <c r="D4" s="27"/>
      <c r="E4" s="10" t="s">
        <v>13</v>
      </c>
      <c r="F4" s="27"/>
      <c r="G4" s="10" t="s">
        <v>13</v>
      </c>
      <c r="H4" s="27"/>
      <c r="I4" s="10" t="s">
        <v>13</v>
      </c>
      <c r="J4" s="27"/>
      <c r="K4" s="1" t="s">
        <v>14</v>
      </c>
      <c r="L4" s="27"/>
      <c r="M4" s="27"/>
      <c r="N4" s="27"/>
      <c r="O4" s="27"/>
      <c r="P4" s="27"/>
    </row>
    <row r="5" spans="1:16" ht="12.6">
      <c r="A5" s="9"/>
      <c r="B5" s="9"/>
      <c r="C5" s="4">
        <v>2021</v>
      </c>
      <c r="D5" s="27"/>
      <c r="E5" s="4">
        <v>2021</v>
      </c>
      <c r="F5" s="27"/>
      <c r="G5" s="4">
        <v>2021</v>
      </c>
      <c r="H5" s="11" t="s">
        <v>15</v>
      </c>
      <c r="I5" s="4">
        <v>2021</v>
      </c>
      <c r="J5" s="11" t="s">
        <v>15</v>
      </c>
      <c r="K5" s="4">
        <v>2021</v>
      </c>
      <c r="L5" s="27"/>
      <c r="M5" s="4">
        <v>2021</v>
      </c>
      <c r="N5" s="11" t="s">
        <v>16</v>
      </c>
      <c r="O5" s="4">
        <v>2020</v>
      </c>
      <c r="P5" s="27"/>
    </row>
    <row r="6" spans="1:16" s="12" customFormat="1" ht="22.9" customHeight="1">
      <c r="A6" s="8"/>
      <c r="B6" s="32" t="s">
        <v>17</v>
      </c>
      <c r="C6" s="32"/>
      <c r="D6" s="32"/>
      <c r="E6" s="32"/>
      <c r="F6" s="32"/>
      <c r="G6" s="32"/>
      <c r="H6" s="32"/>
      <c r="I6" s="32"/>
      <c r="J6" s="32"/>
      <c r="K6" s="32"/>
      <c r="L6" s="32"/>
      <c r="M6" s="32"/>
      <c r="N6" s="32"/>
      <c r="O6" s="32"/>
      <c r="P6" s="28"/>
    </row>
    <row r="7" spans="1:16" s="12" customFormat="1" ht="22.9" customHeight="1">
      <c r="A7" s="13">
        <v>1</v>
      </c>
      <c r="B7" s="8" t="s">
        <v>18</v>
      </c>
      <c r="C7" s="14">
        <v>0.96199999999999997</v>
      </c>
      <c r="D7" s="8"/>
      <c r="E7" s="15">
        <v>83.987200000000001</v>
      </c>
      <c r="F7" s="8"/>
      <c r="G7" s="15">
        <v>16.50029945</v>
      </c>
      <c r="H7" s="8"/>
      <c r="I7" s="15">
        <v>13.85966015</v>
      </c>
      <c r="J7" s="8"/>
      <c r="K7" s="13">
        <v>66933.004539999994</v>
      </c>
      <c r="L7" s="8"/>
      <c r="M7" s="13">
        <v>5</v>
      </c>
      <c r="N7" s="8"/>
      <c r="O7" s="13">
        <v>3</v>
      </c>
      <c r="P7" s="8"/>
    </row>
    <row r="8" spans="1:16" s="12" customFormat="1" ht="22.9" customHeight="1">
      <c r="A8" s="13">
        <v>2</v>
      </c>
      <c r="B8" s="8" t="s">
        <v>19</v>
      </c>
      <c r="C8" s="14">
        <v>0.96099999999999997</v>
      </c>
      <c r="D8" s="8"/>
      <c r="E8" s="15">
        <v>83.233900000000006</v>
      </c>
      <c r="F8" s="8"/>
      <c r="G8" s="15">
        <v>18.185199740000002</v>
      </c>
      <c r="H8" s="16" t="s">
        <v>20</v>
      </c>
      <c r="I8" s="15">
        <v>13.00362968</v>
      </c>
      <c r="J8" s="8"/>
      <c r="K8" s="13">
        <v>64660.106220000001</v>
      </c>
      <c r="L8" s="8"/>
      <c r="M8" s="13">
        <v>6</v>
      </c>
      <c r="N8" s="8"/>
      <c r="O8" s="13">
        <v>1</v>
      </c>
      <c r="P8" s="8"/>
    </row>
    <row r="9" spans="1:16" s="12" customFormat="1" ht="22.9" customHeight="1">
      <c r="A9" s="13">
        <v>3</v>
      </c>
      <c r="B9" s="8" t="s">
        <v>21</v>
      </c>
      <c r="C9" s="14">
        <v>0.95899999999999996</v>
      </c>
      <c r="D9" s="8"/>
      <c r="E9" s="15">
        <v>82.678200000000004</v>
      </c>
      <c r="F9" s="8"/>
      <c r="G9" s="15">
        <v>19.163059230000002</v>
      </c>
      <c r="H9" s="16" t="s">
        <v>20</v>
      </c>
      <c r="I9" s="15">
        <v>13.76716995</v>
      </c>
      <c r="J9" s="8"/>
      <c r="K9" s="13">
        <v>55782.049809999997</v>
      </c>
      <c r="L9" s="8"/>
      <c r="M9" s="13">
        <v>11</v>
      </c>
      <c r="N9" s="8"/>
      <c r="O9" s="13">
        <v>2</v>
      </c>
      <c r="P9" s="8"/>
    </row>
    <row r="10" spans="1:16" s="12" customFormat="1" ht="22.9" customHeight="1">
      <c r="A10" s="13">
        <v>4</v>
      </c>
      <c r="B10" s="8" t="s">
        <v>22</v>
      </c>
      <c r="C10" s="14">
        <v>0.95199999999999996</v>
      </c>
      <c r="D10" s="8"/>
      <c r="E10" s="15">
        <v>85.473399999999998</v>
      </c>
      <c r="F10" s="16" t="s">
        <v>23</v>
      </c>
      <c r="G10" s="15">
        <v>17.278169630000001</v>
      </c>
      <c r="H10" s="8"/>
      <c r="I10" s="15">
        <v>12.22620964</v>
      </c>
      <c r="J10" s="8"/>
      <c r="K10" s="13">
        <v>62606.845399999998</v>
      </c>
      <c r="L10" s="8"/>
      <c r="M10" s="13">
        <v>6</v>
      </c>
      <c r="N10" s="8"/>
      <c r="O10" s="13">
        <v>4</v>
      </c>
      <c r="P10" s="8"/>
    </row>
    <row r="11" spans="1:16" s="12" customFormat="1" ht="22.9" customHeight="1">
      <c r="A11" s="13">
        <v>5</v>
      </c>
      <c r="B11" s="8" t="s">
        <v>24</v>
      </c>
      <c r="C11" s="14">
        <v>0.95099999999999996</v>
      </c>
      <c r="D11" s="8"/>
      <c r="E11" s="15">
        <v>84.526499999999999</v>
      </c>
      <c r="F11" s="8"/>
      <c r="G11" s="15">
        <v>21.054590229999999</v>
      </c>
      <c r="H11" s="16" t="s">
        <v>20</v>
      </c>
      <c r="I11" s="15">
        <v>12.726819989999999</v>
      </c>
      <c r="J11" s="8"/>
      <c r="K11" s="13">
        <v>49238.433349999999</v>
      </c>
      <c r="L11" s="8"/>
      <c r="M11" s="13">
        <v>18</v>
      </c>
      <c r="N11" s="8"/>
      <c r="O11" s="13">
        <v>5</v>
      </c>
      <c r="P11" s="8"/>
    </row>
    <row r="12" spans="1:16" s="12" customFormat="1" ht="22.9" customHeight="1">
      <c r="A12" s="13">
        <v>6</v>
      </c>
      <c r="B12" s="8" t="s">
        <v>25</v>
      </c>
      <c r="C12" s="14">
        <v>0.94799999999999995</v>
      </c>
      <c r="D12" s="8"/>
      <c r="E12" s="15">
        <v>81.375299999999996</v>
      </c>
      <c r="F12" s="8"/>
      <c r="G12" s="15">
        <v>18.714799880000001</v>
      </c>
      <c r="H12" s="16" t="s">
        <v>20</v>
      </c>
      <c r="I12" s="15">
        <v>12.96049023</v>
      </c>
      <c r="J12" s="8"/>
      <c r="K12" s="13">
        <v>60364.785949999998</v>
      </c>
      <c r="L12" s="8"/>
      <c r="M12" s="13">
        <v>6</v>
      </c>
      <c r="N12" s="8"/>
      <c r="O12" s="13">
        <v>5</v>
      </c>
      <c r="P12" s="8"/>
    </row>
    <row r="13" spans="1:16" s="12" customFormat="1" ht="22.9" customHeight="1">
      <c r="A13" s="13">
        <v>7</v>
      </c>
      <c r="B13" s="8" t="s">
        <v>26</v>
      </c>
      <c r="C13" s="14">
        <v>0.94699999999999995</v>
      </c>
      <c r="D13" s="8"/>
      <c r="E13" s="15">
        <v>82.9833</v>
      </c>
      <c r="F13" s="8"/>
      <c r="G13" s="15">
        <v>19.418529509999999</v>
      </c>
      <c r="H13" s="16" t="s">
        <v>20</v>
      </c>
      <c r="I13" s="15">
        <v>12.609720230000001</v>
      </c>
      <c r="J13" s="8"/>
      <c r="K13" s="13">
        <v>54489.37401</v>
      </c>
      <c r="L13" s="8"/>
      <c r="M13" s="13">
        <v>9</v>
      </c>
      <c r="N13" s="8"/>
      <c r="O13" s="13">
        <v>9</v>
      </c>
      <c r="P13" s="8"/>
    </row>
    <row r="14" spans="1:16" s="12" customFormat="1" ht="22.9" customHeight="1">
      <c r="A14" s="13">
        <v>8</v>
      </c>
      <c r="B14" s="8" t="s">
        <v>27</v>
      </c>
      <c r="C14" s="14">
        <v>0.94499999999999995</v>
      </c>
      <c r="D14" s="8"/>
      <c r="E14" s="15">
        <v>81.997600000000006</v>
      </c>
      <c r="F14" s="8"/>
      <c r="G14" s="15">
        <v>18.94522095</v>
      </c>
      <c r="H14" s="16" t="s">
        <v>20</v>
      </c>
      <c r="I14" s="15">
        <v>11.58222303</v>
      </c>
      <c r="J14" s="16" t="s">
        <v>28</v>
      </c>
      <c r="K14" s="13">
        <v>76168.984429999997</v>
      </c>
      <c r="L14" s="16" t="s">
        <v>29</v>
      </c>
      <c r="M14" s="13">
        <v>-3</v>
      </c>
      <c r="N14" s="8"/>
      <c r="O14" s="13">
        <v>8</v>
      </c>
      <c r="P14" s="8"/>
    </row>
    <row r="15" spans="1:16" s="12" customFormat="1" ht="22.9" customHeight="1">
      <c r="A15" s="13">
        <v>9</v>
      </c>
      <c r="B15" s="8" t="s">
        <v>30</v>
      </c>
      <c r="C15" s="14">
        <v>0.94199999999999995</v>
      </c>
      <c r="D15" s="8"/>
      <c r="E15" s="15">
        <v>80.630099999999999</v>
      </c>
      <c r="F15" s="8"/>
      <c r="G15" s="15">
        <v>17.010139469999999</v>
      </c>
      <c r="H15" s="8"/>
      <c r="I15" s="15">
        <v>14.090966910000001</v>
      </c>
      <c r="J15" s="16" t="s">
        <v>28</v>
      </c>
      <c r="K15" s="13">
        <v>54534.216820000001</v>
      </c>
      <c r="L15" s="8"/>
      <c r="M15" s="13">
        <v>6</v>
      </c>
      <c r="N15" s="8"/>
      <c r="O15" s="13">
        <v>7</v>
      </c>
      <c r="P15" s="8"/>
    </row>
    <row r="16" spans="1:16" s="12" customFormat="1" ht="22.9" customHeight="1">
      <c r="A16" s="13">
        <v>10</v>
      </c>
      <c r="B16" s="8" t="s">
        <v>31</v>
      </c>
      <c r="C16" s="14">
        <v>0.94099999999999995</v>
      </c>
      <c r="D16" s="8"/>
      <c r="E16" s="15">
        <v>81.687299999999993</v>
      </c>
      <c r="F16" s="8"/>
      <c r="G16" s="15">
        <v>18.693165220000001</v>
      </c>
      <c r="H16" s="16" t="s">
        <v>32</v>
      </c>
      <c r="I16" s="15">
        <v>12.581629749999999</v>
      </c>
      <c r="J16" s="8"/>
      <c r="K16" s="13">
        <v>55979.411</v>
      </c>
      <c r="L16" s="8"/>
      <c r="M16" s="13">
        <v>3</v>
      </c>
      <c r="N16" s="8"/>
      <c r="O16" s="13">
        <v>10</v>
      </c>
      <c r="P16" s="8"/>
    </row>
    <row r="17" spans="1:16" s="12" customFormat="1" ht="22.9" customHeight="1">
      <c r="A17" s="13">
        <v>11</v>
      </c>
      <c r="B17" s="8" t="s">
        <v>33</v>
      </c>
      <c r="C17" s="14">
        <v>0.94</v>
      </c>
      <c r="D17" s="8"/>
      <c r="E17" s="15">
        <v>82.0381</v>
      </c>
      <c r="F17" s="8"/>
      <c r="G17" s="15">
        <v>19.051929470000001</v>
      </c>
      <c r="H17" s="16" t="s">
        <v>20</v>
      </c>
      <c r="I17" s="15">
        <v>12.87362003</v>
      </c>
      <c r="J17" s="8"/>
      <c r="K17" s="13">
        <v>49452.166720000001</v>
      </c>
      <c r="L17" s="8"/>
      <c r="M17" s="13">
        <v>11</v>
      </c>
      <c r="N17" s="8"/>
      <c r="O17" s="13">
        <v>12</v>
      </c>
      <c r="P17" s="8"/>
    </row>
    <row r="18" spans="1:16" s="12" customFormat="1" ht="22.9" customHeight="1">
      <c r="A18" s="13">
        <v>12</v>
      </c>
      <c r="B18" s="8" t="s">
        <v>34</v>
      </c>
      <c r="C18" s="14">
        <v>0.93899999999999995</v>
      </c>
      <c r="D18" s="8"/>
      <c r="E18" s="15">
        <v>82.754499999999993</v>
      </c>
      <c r="F18" s="8"/>
      <c r="G18" s="15">
        <v>16.524320599999999</v>
      </c>
      <c r="H18" s="8"/>
      <c r="I18" s="15">
        <v>11.924880030000001</v>
      </c>
      <c r="J18" s="8"/>
      <c r="K18" s="13">
        <v>90918.644709999993</v>
      </c>
      <c r="L18" s="16" t="s">
        <v>29</v>
      </c>
      <c r="M18" s="13">
        <v>-10</v>
      </c>
      <c r="N18" s="8"/>
      <c r="O18" s="13">
        <v>10</v>
      </c>
      <c r="P18" s="8"/>
    </row>
    <row r="19" spans="1:16" s="12" customFormat="1" ht="22.9" customHeight="1">
      <c r="A19" s="13">
        <v>13</v>
      </c>
      <c r="B19" s="8" t="s">
        <v>35</v>
      </c>
      <c r="C19" s="14">
        <v>0.93700000000000006</v>
      </c>
      <c r="D19" s="8"/>
      <c r="E19" s="15">
        <v>81.878699999999995</v>
      </c>
      <c r="F19" s="8"/>
      <c r="G19" s="15">
        <v>19.604219440000001</v>
      </c>
      <c r="H19" s="16" t="s">
        <v>20</v>
      </c>
      <c r="I19" s="15">
        <v>12.37567997</v>
      </c>
      <c r="J19" s="8"/>
      <c r="K19" s="13">
        <v>52293.399770000004</v>
      </c>
      <c r="L19" s="8"/>
      <c r="M19" s="13">
        <v>7</v>
      </c>
      <c r="N19" s="8"/>
      <c r="O19" s="13">
        <v>16</v>
      </c>
      <c r="P19" s="8"/>
    </row>
    <row r="20" spans="1:16" s="12" customFormat="1" ht="22.9" customHeight="1">
      <c r="A20" s="13">
        <v>13</v>
      </c>
      <c r="B20" s="8" t="s">
        <v>36</v>
      </c>
      <c r="C20" s="14">
        <v>0.93700000000000006</v>
      </c>
      <c r="D20" s="8"/>
      <c r="E20" s="15">
        <v>82.451300000000003</v>
      </c>
      <c r="F20" s="8"/>
      <c r="G20" s="15">
        <v>20.283889769999998</v>
      </c>
      <c r="H20" s="16" t="s">
        <v>20</v>
      </c>
      <c r="I20" s="15">
        <v>12.94468975</v>
      </c>
      <c r="J20" s="8"/>
      <c r="K20" s="13">
        <v>44057.31394</v>
      </c>
      <c r="L20" s="8"/>
      <c r="M20" s="13">
        <v>16</v>
      </c>
      <c r="N20" s="8"/>
      <c r="O20" s="13">
        <v>13</v>
      </c>
      <c r="P20" s="8"/>
    </row>
    <row r="21" spans="1:16" s="12" customFormat="1" ht="22.9" customHeight="1">
      <c r="A21" s="13">
        <v>15</v>
      </c>
      <c r="B21" s="8" t="s">
        <v>37</v>
      </c>
      <c r="C21" s="14">
        <v>0.93600000000000005</v>
      </c>
      <c r="D21" s="8"/>
      <c r="E21" s="15">
        <v>82.656499999999994</v>
      </c>
      <c r="F21" s="8"/>
      <c r="G21" s="15">
        <v>16.396259310000001</v>
      </c>
      <c r="H21" s="8"/>
      <c r="I21" s="15">
        <v>13.83442722</v>
      </c>
      <c r="J21" s="16" t="s">
        <v>28</v>
      </c>
      <c r="K21" s="13">
        <v>46807.986190000003</v>
      </c>
      <c r="L21" s="8"/>
      <c r="M21" s="13">
        <v>9</v>
      </c>
      <c r="N21" s="8"/>
      <c r="O21" s="13">
        <v>15</v>
      </c>
      <c r="P21" s="8"/>
    </row>
    <row r="22" spans="1:16" s="12" customFormat="1" ht="22.9" customHeight="1">
      <c r="A22" s="13">
        <v>16</v>
      </c>
      <c r="B22" s="8" t="s">
        <v>38</v>
      </c>
      <c r="C22" s="14">
        <v>0.93500000000000005</v>
      </c>
      <c r="D22" s="8"/>
      <c r="E22" s="15">
        <v>83.257499999999993</v>
      </c>
      <c r="F22" s="8"/>
      <c r="G22" s="15">
        <v>15.181570049999999</v>
      </c>
      <c r="H22" s="8"/>
      <c r="I22" s="15">
        <v>12.538539999999999</v>
      </c>
      <c r="J22" s="16" t="s">
        <v>39</v>
      </c>
      <c r="K22" s="13">
        <v>146829.70060000001</v>
      </c>
      <c r="L22" s="16" t="s">
        <v>40</v>
      </c>
      <c r="M22" s="13">
        <v>-15</v>
      </c>
      <c r="N22" s="8"/>
      <c r="O22" s="13">
        <v>14</v>
      </c>
      <c r="P22" s="8"/>
    </row>
    <row r="23" spans="1:16" s="12" customFormat="1" ht="22.9" customHeight="1">
      <c r="A23" s="13">
        <v>17</v>
      </c>
      <c r="B23" s="8" t="s">
        <v>41</v>
      </c>
      <c r="C23" s="14">
        <v>0.93</v>
      </c>
      <c r="D23" s="8"/>
      <c r="E23" s="15">
        <v>82.628699999999995</v>
      </c>
      <c r="F23" s="8"/>
      <c r="G23" s="15">
        <v>14.398139949999999</v>
      </c>
      <c r="H23" s="8"/>
      <c r="I23" s="15">
        <v>13.015192170000001</v>
      </c>
      <c r="J23" s="16" t="s">
        <v>42</v>
      </c>
      <c r="K23" s="13">
        <v>84649.474669999996</v>
      </c>
      <c r="L23" s="16" t="s">
        <v>29</v>
      </c>
      <c r="M23" s="13">
        <v>-13</v>
      </c>
      <c r="N23" s="8"/>
      <c r="O23" s="13">
        <v>17</v>
      </c>
      <c r="P23" s="8"/>
    </row>
    <row r="24" spans="1:16" s="12" customFormat="1" ht="22.9" customHeight="1">
      <c r="A24" s="13">
        <v>18</v>
      </c>
      <c r="B24" s="8" t="s">
        <v>43</v>
      </c>
      <c r="C24" s="14">
        <v>0.92900000000000005</v>
      </c>
      <c r="D24" s="8"/>
      <c r="E24" s="15">
        <v>80.742199999999997</v>
      </c>
      <c r="F24" s="8"/>
      <c r="G24" s="15">
        <v>17.309719090000002</v>
      </c>
      <c r="H24" s="8"/>
      <c r="I24" s="15">
        <v>13.4061203</v>
      </c>
      <c r="J24" s="8"/>
      <c r="K24" s="13">
        <v>45224.765639999998</v>
      </c>
      <c r="L24" s="8"/>
      <c r="M24" s="13">
        <v>9</v>
      </c>
      <c r="N24" s="8"/>
      <c r="O24" s="13">
        <v>17</v>
      </c>
      <c r="P24" s="8"/>
    </row>
    <row r="25" spans="1:16" s="12" customFormat="1" ht="22.9" customHeight="1">
      <c r="A25" s="13">
        <v>19</v>
      </c>
      <c r="B25" s="8" t="s">
        <v>44</v>
      </c>
      <c r="C25" s="14">
        <v>0.92500000000000004</v>
      </c>
      <c r="D25" s="8"/>
      <c r="E25" s="15">
        <v>84.783900000000003</v>
      </c>
      <c r="F25" s="8"/>
      <c r="G25" s="15">
        <v>15.221625879999999</v>
      </c>
      <c r="H25" s="16" t="s">
        <v>28</v>
      </c>
      <c r="I25" s="15">
        <v>13.366100339999999</v>
      </c>
      <c r="J25" s="8"/>
      <c r="K25" s="13">
        <v>42274.291340000003</v>
      </c>
      <c r="L25" s="8"/>
      <c r="M25" s="13">
        <v>12</v>
      </c>
      <c r="N25" s="8"/>
      <c r="O25" s="13">
        <v>19</v>
      </c>
      <c r="P25" s="8"/>
    </row>
    <row r="26" spans="1:16" s="12" customFormat="1" ht="22.9" customHeight="1">
      <c r="A26" s="13">
        <v>19</v>
      </c>
      <c r="B26" s="8" t="s">
        <v>45</v>
      </c>
      <c r="C26" s="14">
        <v>0.92500000000000004</v>
      </c>
      <c r="D26" s="8"/>
      <c r="E26" s="15">
        <v>83.697800000000001</v>
      </c>
      <c r="F26" s="8"/>
      <c r="G26" s="15">
        <v>16.521739960000001</v>
      </c>
      <c r="H26" s="8"/>
      <c r="I26" s="15">
        <v>12.51293027</v>
      </c>
      <c r="J26" s="16" t="s">
        <v>28</v>
      </c>
      <c r="K26" s="13">
        <v>44500.93187</v>
      </c>
      <c r="L26" s="8"/>
      <c r="M26" s="13">
        <v>9</v>
      </c>
      <c r="N26" s="8"/>
      <c r="O26" s="13">
        <v>20</v>
      </c>
      <c r="P26" s="8"/>
    </row>
    <row r="27" spans="1:16" s="12" customFormat="1" ht="22.9" customHeight="1">
      <c r="A27" s="13">
        <v>21</v>
      </c>
      <c r="B27" s="8" t="s">
        <v>46</v>
      </c>
      <c r="C27" s="14">
        <v>0.92100000000000004</v>
      </c>
      <c r="D27" s="8"/>
      <c r="E27" s="15">
        <v>77.1982</v>
      </c>
      <c r="F27" s="8"/>
      <c r="G27" s="15">
        <v>16.280979160000001</v>
      </c>
      <c r="H27" s="8"/>
      <c r="I27" s="15">
        <v>13.683429719999999</v>
      </c>
      <c r="J27" s="8"/>
      <c r="K27" s="13">
        <v>64765.215089999998</v>
      </c>
      <c r="L27" s="8"/>
      <c r="M27" s="13">
        <v>-14</v>
      </c>
      <c r="N27" s="8"/>
      <c r="O27" s="13">
        <v>21</v>
      </c>
      <c r="P27" s="8"/>
    </row>
    <row r="28" spans="1:16" s="12" customFormat="1" ht="22.9" customHeight="1">
      <c r="A28" s="13">
        <v>22</v>
      </c>
      <c r="B28" s="8" t="s">
        <v>47</v>
      </c>
      <c r="C28" s="14">
        <v>0.91900000000000004</v>
      </c>
      <c r="D28" s="8"/>
      <c r="E28" s="15">
        <v>82.254999999999995</v>
      </c>
      <c r="F28" s="8"/>
      <c r="G28" s="15">
        <v>16.05088997</v>
      </c>
      <c r="H28" s="8"/>
      <c r="I28" s="15">
        <v>13.344866400000001</v>
      </c>
      <c r="J28" s="16" t="s">
        <v>28</v>
      </c>
      <c r="K28" s="13">
        <v>41523.743190000001</v>
      </c>
      <c r="L28" s="8"/>
      <c r="M28" s="13">
        <v>10</v>
      </c>
      <c r="N28" s="8"/>
      <c r="O28" s="13">
        <v>22</v>
      </c>
      <c r="P28" s="8"/>
    </row>
    <row r="29" spans="1:16" s="12" customFormat="1" ht="22.9" customHeight="1">
      <c r="A29" s="13">
        <v>23</v>
      </c>
      <c r="B29" s="8" t="s">
        <v>48</v>
      </c>
      <c r="C29" s="14">
        <v>0.91800000000000004</v>
      </c>
      <c r="D29" s="8"/>
      <c r="E29" s="15">
        <v>83.776899999999998</v>
      </c>
      <c r="F29" s="8"/>
      <c r="G29" s="15">
        <v>16.838569639999999</v>
      </c>
      <c r="H29" s="8"/>
      <c r="I29" s="15">
        <v>12.21026039</v>
      </c>
      <c r="J29" s="8"/>
      <c r="K29" s="13">
        <v>38884.456230000003</v>
      </c>
      <c r="L29" s="8"/>
      <c r="M29" s="13">
        <v>12</v>
      </c>
      <c r="N29" s="8"/>
      <c r="O29" s="13">
        <v>26</v>
      </c>
      <c r="P29" s="8"/>
    </row>
    <row r="30" spans="1:16" s="12" customFormat="1" ht="22.9" customHeight="1">
      <c r="A30" s="13">
        <v>23</v>
      </c>
      <c r="B30" s="8" t="s">
        <v>49</v>
      </c>
      <c r="C30" s="14">
        <v>0.91800000000000004</v>
      </c>
      <c r="D30" s="8"/>
      <c r="E30" s="15">
        <v>80.690399999999997</v>
      </c>
      <c r="F30" s="8"/>
      <c r="G30" s="15">
        <v>17.654920579999999</v>
      </c>
      <c r="H30" s="8"/>
      <c r="I30" s="15">
        <v>12.803680419999999</v>
      </c>
      <c r="J30" s="8"/>
      <c r="K30" s="13">
        <v>39746.019869999996</v>
      </c>
      <c r="L30" s="8"/>
      <c r="M30" s="13">
        <v>10</v>
      </c>
      <c r="N30" s="8"/>
      <c r="O30" s="13">
        <v>23</v>
      </c>
      <c r="P30" s="8"/>
    </row>
    <row r="31" spans="1:16" s="12" customFormat="1" ht="22.9" customHeight="1">
      <c r="A31" s="13">
        <v>25</v>
      </c>
      <c r="B31" s="8" t="s">
        <v>50</v>
      </c>
      <c r="C31" s="14">
        <v>0.91600000000000004</v>
      </c>
      <c r="D31" s="8"/>
      <c r="E31" s="15">
        <v>81.579700000000003</v>
      </c>
      <c r="F31" s="8"/>
      <c r="G31" s="15">
        <v>16.007959369999998</v>
      </c>
      <c r="H31" s="8"/>
      <c r="I31" s="15">
        <v>12.25669003</v>
      </c>
      <c r="J31" s="8"/>
      <c r="K31" s="13">
        <v>53618.67138</v>
      </c>
      <c r="L31" s="8"/>
      <c r="M31" s="13">
        <v>-8</v>
      </c>
      <c r="N31" s="8"/>
      <c r="O31" s="13">
        <v>23</v>
      </c>
      <c r="P31" s="8"/>
    </row>
    <row r="32" spans="1:16" s="12" customFormat="1" ht="22.9" customHeight="1">
      <c r="A32" s="13">
        <v>26</v>
      </c>
      <c r="B32" s="8" t="s">
        <v>51</v>
      </c>
      <c r="C32" s="14">
        <v>0.91100000000000003</v>
      </c>
      <c r="D32" s="8"/>
      <c r="E32" s="15">
        <v>78.710400000000007</v>
      </c>
      <c r="F32" s="8"/>
      <c r="G32" s="15">
        <v>15.717690470000001</v>
      </c>
      <c r="H32" s="8"/>
      <c r="I32" s="15">
        <v>12.69402981</v>
      </c>
      <c r="J32" s="8"/>
      <c r="K32" s="13">
        <v>62573.591809999998</v>
      </c>
      <c r="L32" s="8"/>
      <c r="M32" s="13">
        <v>-15</v>
      </c>
      <c r="N32" s="8"/>
      <c r="O32" s="13">
        <v>25</v>
      </c>
      <c r="P32" s="8"/>
    </row>
    <row r="33" spans="1:16" s="12" customFormat="1" ht="22.9" customHeight="1">
      <c r="A33" s="13">
        <v>27</v>
      </c>
      <c r="B33" s="8" t="s">
        <v>52</v>
      </c>
      <c r="C33" s="14">
        <v>0.90500000000000003</v>
      </c>
      <c r="D33" s="8"/>
      <c r="E33" s="15">
        <v>83.01</v>
      </c>
      <c r="F33" s="8"/>
      <c r="G33" s="15">
        <v>17.916900630000001</v>
      </c>
      <c r="H33" s="8"/>
      <c r="I33" s="15">
        <v>10.60540009</v>
      </c>
      <c r="J33" s="8"/>
      <c r="K33" s="13">
        <v>38353.601640000001</v>
      </c>
      <c r="L33" s="8"/>
      <c r="M33" s="13">
        <v>10</v>
      </c>
      <c r="N33" s="8"/>
      <c r="O33" s="13">
        <v>27</v>
      </c>
      <c r="P33" s="8"/>
    </row>
    <row r="34" spans="1:16" s="12" customFormat="1" ht="22.9" customHeight="1">
      <c r="A34" s="13">
        <v>28</v>
      </c>
      <c r="B34" s="8" t="s">
        <v>53</v>
      </c>
      <c r="C34" s="14">
        <v>0.90300000000000002</v>
      </c>
      <c r="D34" s="8"/>
      <c r="E34" s="15">
        <v>82.498800000000003</v>
      </c>
      <c r="F34" s="8"/>
      <c r="G34" s="15">
        <v>15.81206989</v>
      </c>
      <c r="H34" s="8"/>
      <c r="I34" s="15">
        <v>11.610059740000001</v>
      </c>
      <c r="J34" s="8"/>
      <c r="K34" s="13">
        <v>45937.052730000003</v>
      </c>
      <c r="L34" s="8"/>
      <c r="M34" s="13">
        <v>-2</v>
      </c>
      <c r="N34" s="8"/>
      <c r="O34" s="13">
        <v>28</v>
      </c>
      <c r="P34" s="8"/>
    </row>
    <row r="35" spans="1:16" s="12" customFormat="1" ht="22.9" customHeight="1">
      <c r="A35" s="13">
        <v>29</v>
      </c>
      <c r="B35" s="8" t="s">
        <v>54</v>
      </c>
      <c r="C35" s="14">
        <v>0.89600000000000002</v>
      </c>
      <c r="D35" s="8"/>
      <c r="E35" s="15">
        <v>81.203299999999999</v>
      </c>
      <c r="F35" s="8"/>
      <c r="G35" s="15">
        <v>15.64826965</v>
      </c>
      <c r="H35" s="8"/>
      <c r="I35" s="15">
        <v>12.440170289999999</v>
      </c>
      <c r="J35" s="8"/>
      <c r="K35" s="13">
        <v>38188.421520000004</v>
      </c>
      <c r="L35" s="8"/>
      <c r="M35" s="13">
        <v>9</v>
      </c>
      <c r="N35" s="8"/>
      <c r="O35" s="13">
        <v>29</v>
      </c>
      <c r="P35" s="8"/>
    </row>
    <row r="36" spans="1:16" s="12" customFormat="1" ht="22.9" customHeight="1">
      <c r="A36" s="13">
        <v>30</v>
      </c>
      <c r="B36" s="8" t="s">
        <v>55</v>
      </c>
      <c r="C36" s="14">
        <v>0.89500000000000002</v>
      </c>
      <c r="D36" s="8"/>
      <c r="E36" s="15">
        <v>82.850200000000001</v>
      </c>
      <c r="F36" s="8"/>
      <c r="G36" s="15">
        <v>16.22678947</v>
      </c>
      <c r="H36" s="8"/>
      <c r="I36" s="15">
        <v>10.740110400000001</v>
      </c>
      <c r="J36" s="8"/>
      <c r="K36" s="13">
        <v>42839.514410000003</v>
      </c>
      <c r="L36" s="8"/>
      <c r="M36" s="13">
        <v>0</v>
      </c>
      <c r="N36" s="8"/>
      <c r="O36" s="13">
        <v>32</v>
      </c>
      <c r="P36" s="8"/>
    </row>
    <row r="37" spans="1:16" s="12" customFormat="1" ht="22.9" customHeight="1">
      <c r="A37" s="13">
        <v>31</v>
      </c>
      <c r="B37" s="8" t="s">
        <v>56</v>
      </c>
      <c r="C37" s="14">
        <v>0.89</v>
      </c>
      <c r="D37" s="8"/>
      <c r="E37" s="15">
        <v>77.143600000000006</v>
      </c>
      <c r="F37" s="8"/>
      <c r="G37" s="15">
        <v>15.92895985</v>
      </c>
      <c r="H37" s="8"/>
      <c r="I37" s="15">
        <v>13.548430440000001</v>
      </c>
      <c r="J37" s="8"/>
      <c r="K37" s="13">
        <v>38048.263720000003</v>
      </c>
      <c r="L37" s="8"/>
      <c r="M37" s="13">
        <v>8</v>
      </c>
      <c r="N37" s="8"/>
      <c r="O37" s="13">
        <v>30</v>
      </c>
      <c r="P37" s="8"/>
    </row>
    <row r="38" spans="1:16" s="12" customFormat="1" ht="22.9" customHeight="1">
      <c r="A38" s="13">
        <v>32</v>
      </c>
      <c r="B38" s="8" t="s">
        <v>57</v>
      </c>
      <c r="C38" s="14">
        <v>0.88900000000000001</v>
      </c>
      <c r="D38" s="8"/>
      <c r="E38" s="15">
        <v>77.728300000000004</v>
      </c>
      <c r="F38" s="8"/>
      <c r="G38" s="15">
        <v>16.219680790000002</v>
      </c>
      <c r="H38" s="8"/>
      <c r="I38" s="15">
        <v>12.86931038</v>
      </c>
      <c r="J38" s="8"/>
      <c r="K38" s="13">
        <v>38745.213860000003</v>
      </c>
      <c r="L38" s="8"/>
      <c r="M38" s="13">
        <v>4</v>
      </c>
      <c r="N38" s="8"/>
      <c r="O38" s="13">
        <v>30</v>
      </c>
      <c r="P38" s="8"/>
    </row>
    <row r="39" spans="1:16" s="12" customFormat="1" ht="22.9" customHeight="1">
      <c r="A39" s="13">
        <v>33</v>
      </c>
      <c r="B39" s="8" t="s">
        <v>58</v>
      </c>
      <c r="C39" s="14">
        <v>0.88700000000000001</v>
      </c>
      <c r="D39" s="8"/>
      <c r="E39" s="15">
        <v>80.110600000000005</v>
      </c>
      <c r="F39" s="8"/>
      <c r="G39" s="15">
        <v>20.02878952</v>
      </c>
      <c r="H39" s="16" t="s">
        <v>20</v>
      </c>
      <c r="I39" s="15">
        <v>11.408530239999999</v>
      </c>
      <c r="J39" s="8"/>
      <c r="K39" s="13">
        <v>29002.48545</v>
      </c>
      <c r="L39" s="8"/>
      <c r="M39" s="13">
        <v>17</v>
      </c>
      <c r="N39" s="8"/>
      <c r="O39" s="13">
        <v>33</v>
      </c>
      <c r="P39" s="8"/>
    </row>
    <row r="40" spans="1:16" s="12" customFormat="1" ht="22.9" customHeight="1">
      <c r="A40" s="13">
        <v>34</v>
      </c>
      <c r="B40" s="8" t="s">
        <v>59</v>
      </c>
      <c r="C40" s="14">
        <v>0.876</v>
      </c>
      <c r="D40" s="8"/>
      <c r="E40" s="15">
        <v>76.4572</v>
      </c>
      <c r="F40" s="8"/>
      <c r="G40" s="15">
        <v>16.0271492</v>
      </c>
      <c r="H40" s="8"/>
      <c r="I40" s="15">
        <v>13.164750099999999</v>
      </c>
      <c r="J40" s="8"/>
      <c r="K40" s="13">
        <v>33033.960809999997</v>
      </c>
      <c r="L40" s="8"/>
      <c r="M40" s="13">
        <v>8</v>
      </c>
      <c r="N40" s="8"/>
      <c r="O40" s="13">
        <v>36</v>
      </c>
      <c r="P40" s="8"/>
    </row>
    <row r="41" spans="1:16" s="12" customFormat="1" ht="22.9" customHeight="1">
      <c r="A41" s="13">
        <v>35</v>
      </c>
      <c r="B41" s="8" t="s">
        <v>60</v>
      </c>
      <c r="C41" s="14">
        <v>0.875</v>
      </c>
      <c r="D41" s="8"/>
      <c r="E41" s="15">
        <v>78.760499999999993</v>
      </c>
      <c r="F41" s="8"/>
      <c r="G41" s="15">
        <v>16.297559740000001</v>
      </c>
      <c r="H41" s="8"/>
      <c r="I41" s="15">
        <v>11.04658985</v>
      </c>
      <c r="J41" s="8"/>
      <c r="K41" s="13">
        <v>39497.247880000003</v>
      </c>
      <c r="L41" s="8"/>
      <c r="M41" s="13">
        <v>-1</v>
      </c>
      <c r="N41" s="8"/>
      <c r="O41" s="13">
        <v>35</v>
      </c>
      <c r="P41" s="8"/>
    </row>
    <row r="42" spans="1:16" s="12" customFormat="1" ht="22.9" customHeight="1">
      <c r="A42" s="13">
        <v>35</v>
      </c>
      <c r="B42" s="8" t="s">
        <v>61</v>
      </c>
      <c r="C42" s="14">
        <v>0.875</v>
      </c>
      <c r="D42" s="8"/>
      <c r="E42" s="15">
        <v>73.720100000000002</v>
      </c>
      <c r="F42" s="8"/>
      <c r="G42" s="15">
        <v>16.28506088</v>
      </c>
      <c r="H42" s="8"/>
      <c r="I42" s="15">
        <v>13.498100279999999</v>
      </c>
      <c r="J42" s="8"/>
      <c r="K42" s="13">
        <v>37931.303590000003</v>
      </c>
      <c r="L42" s="8"/>
      <c r="M42" s="13">
        <v>5</v>
      </c>
      <c r="N42" s="8"/>
      <c r="O42" s="13">
        <v>34</v>
      </c>
      <c r="P42" s="8"/>
    </row>
    <row r="43" spans="1:16" s="12" customFormat="1" ht="22.9" customHeight="1">
      <c r="A43" s="13">
        <v>35</v>
      </c>
      <c r="B43" s="8" t="s">
        <v>62</v>
      </c>
      <c r="C43" s="14">
        <v>0.875</v>
      </c>
      <c r="D43" s="8"/>
      <c r="E43" s="15">
        <v>76.936000000000007</v>
      </c>
      <c r="F43" s="8"/>
      <c r="G43" s="15">
        <v>16.13549042</v>
      </c>
      <c r="H43" s="8"/>
      <c r="I43" s="15">
        <v>11.310529710000001</v>
      </c>
      <c r="J43" s="8"/>
      <c r="K43" s="13">
        <v>46111.551350000002</v>
      </c>
      <c r="L43" s="8"/>
      <c r="M43" s="13">
        <v>-10</v>
      </c>
      <c r="N43" s="8"/>
      <c r="O43" s="13">
        <v>38</v>
      </c>
      <c r="P43" s="8"/>
    </row>
    <row r="44" spans="1:16" s="12" customFormat="1" ht="22.9" customHeight="1">
      <c r="A44" s="13">
        <v>38</v>
      </c>
      <c r="B44" s="8" t="s">
        <v>63</v>
      </c>
      <c r="C44" s="14">
        <v>0.86599999999999999</v>
      </c>
      <c r="D44" s="8"/>
      <c r="E44" s="15">
        <v>81.044300000000007</v>
      </c>
      <c r="F44" s="8"/>
      <c r="G44" s="15">
        <v>16.871229169999999</v>
      </c>
      <c r="H44" s="8"/>
      <c r="I44" s="15">
        <v>9.5759401319999995</v>
      </c>
      <c r="J44" s="8"/>
      <c r="K44" s="13">
        <v>33154.533430000003</v>
      </c>
      <c r="L44" s="8"/>
      <c r="M44" s="13">
        <v>3</v>
      </c>
      <c r="N44" s="8"/>
      <c r="O44" s="13">
        <v>39</v>
      </c>
      <c r="P44" s="8"/>
    </row>
    <row r="45" spans="1:16" s="12" customFormat="1" ht="22.9" customHeight="1">
      <c r="A45" s="13">
        <v>39</v>
      </c>
      <c r="B45" s="8" t="s">
        <v>64</v>
      </c>
      <c r="C45" s="14">
        <v>0.86299999999999999</v>
      </c>
      <c r="D45" s="8"/>
      <c r="E45" s="15">
        <v>73.578599999999994</v>
      </c>
      <c r="F45" s="8"/>
      <c r="G45" s="15">
        <v>16.202529909999999</v>
      </c>
      <c r="H45" s="8"/>
      <c r="I45" s="15">
        <v>13.252719880000001</v>
      </c>
      <c r="J45" s="8"/>
      <c r="K45" s="13">
        <v>32803.234230000002</v>
      </c>
      <c r="L45" s="8"/>
      <c r="M45" s="13">
        <v>4</v>
      </c>
      <c r="N45" s="8"/>
      <c r="O45" s="13">
        <v>37</v>
      </c>
      <c r="P45" s="8"/>
    </row>
    <row r="46" spans="1:16" s="12" customFormat="1" ht="22.9" customHeight="1">
      <c r="A46" s="13">
        <v>40</v>
      </c>
      <c r="B46" s="8" t="s">
        <v>65</v>
      </c>
      <c r="C46" s="14">
        <v>0.85799999999999998</v>
      </c>
      <c r="D46" s="8"/>
      <c r="E46" s="15">
        <v>80.368399999999994</v>
      </c>
      <c r="F46" s="8"/>
      <c r="G46" s="15">
        <v>13.300238739999999</v>
      </c>
      <c r="H46" s="16" t="s">
        <v>66</v>
      </c>
      <c r="I46" s="15">
        <v>10.55511952</v>
      </c>
      <c r="J46" s="16" t="s">
        <v>28</v>
      </c>
      <c r="K46" s="13">
        <v>51166.626609999999</v>
      </c>
      <c r="L46" s="16" t="s">
        <v>67</v>
      </c>
      <c r="M46" s="13">
        <v>-19</v>
      </c>
      <c r="N46" s="8"/>
      <c r="O46" s="13">
        <v>45</v>
      </c>
      <c r="P46" s="8"/>
    </row>
    <row r="47" spans="1:16" s="12" customFormat="1" ht="22.9" customHeight="1">
      <c r="A47" s="13">
        <v>40</v>
      </c>
      <c r="B47" s="8" t="s">
        <v>68</v>
      </c>
      <c r="C47" s="14">
        <v>0.85799999999999998</v>
      </c>
      <c r="D47" s="8"/>
      <c r="E47" s="15">
        <v>77.580399999999997</v>
      </c>
      <c r="F47" s="8"/>
      <c r="G47" s="15">
        <v>15.112099649999999</v>
      </c>
      <c r="H47" s="8"/>
      <c r="I47" s="15">
        <v>12.19108434</v>
      </c>
      <c r="J47" s="16" t="s">
        <v>28</v>
      </c>
      <c r="K47" s="13">
        <v>30132.288140000001</v>
      </c>
      <c r="L47" s="8"/>
      <c r="M47" s="13">
        <v>8</v>
      </c>
      <c r="N47" s="8"/>
      <c r="O47" s="13">
        <v>41</v>
      </c>
      <c r="P47" s="8"/>
    </row>
    <row r="48" spans="1:16" s="12" customFormat="1" ht="22.9" customHeight="1">
      <c r="A48" s="13">
        <v>42</v>
      </c>
      <c r="B48" s="8" t="s">
        <v>69</v>
      </c>
      <c r="C48" s="14">
        <v>0.85499999999999998</v>
      </c>
      <c r="D48" s="8"/>
      <c r="E48" s="15">
        <v>78.9435</v>
      </c>
      <c r="F48" s="8"/>
      <c r="G48" s="15">
        <v>16.731300350000001</v>
      </c>
      <c r="H48" s="8"/>
      <c r="I48" s="15">
        <v>10.934966299999999</v>
      </c>
      <c r="J48" s="16" t="s">
        <v>28</v>
      </c>
      <c r="K48" s="13">
        <v>24563.244859999999</v>
      </c>
      <c r="L48" s="8"/>
      <c r="M48" s="13">
        <v>14</v>
      </c>
      <c r="N48" s="8"/>
      <c r="O48" s="13">
        <v>43</v>
      </c>
      <c r="P48" s="8"/>
    </row>
    <row r="49" spans="1:16" s="12" customFormat="1" ht="22.9" customHeight="1">
      <c r="A49" s="13">
        <v>42</v>
      </c>
      <c r="B49" s="8" t="s">
        <v>70</v>
      </c>
      <c r="C49" s="14">
        <v>0.85499999999999998</v>
      </c>
      <c r="D49" s="8"/>
      <c r="E49" s="15">
        <v>79.271600000000007</v>
      </c>
      <c r="F49" s="8"/>
      <c r="G49" s="15">
        <v>12.63722038</v>
      </c>
      <c r="H49" s="8"/>
      <c r="I49" s="15">
        <v>9.9960114499999992</v>
      </c>
      <c r="J49" s="16" t="s">
        <v>28</v>
      </c>
      <c r="K49" s="13">
        <v>87134.134690000006</v>
      </c>
      <c r="L49" s="16" t="s">
        <v>29</v>
      </c>
      <c r="M49" s="13">
        <v>-39</v>
      </c>
      <c r="N49" s="8"/>
      <c r="O49" s="13">
        <v>42</v>
      </c>
      <c r="P49" s="8"/>
    </row>
    <row r="50" spans="1:16" s="12" customFormat="1" ht="22.9" customHeight="1">
      <c r="A50" s="13">
        <v>44</v>
      </c>
      <c r="B50" s="8" t="s">
        <v>71</v>
      </c>
      <c r="C50" s="14">
        <v>0.85299999999999998</v>
      </c>
      <c r="D50" s="8"/>
      <c r="E50" s="15">
        <v>80.878600000000006</v>
      </c>
      <c r="F50" s="8"/>
      <c r="G50" s="15">
        <v>12.26613998</v>
      </c>
      <c r="H50" s="8"/>
      <c r="I50" s="15">
        <v>10.80146027</v>
      </c>
      <c r="J50" s="8"/>
      <c r="K50" s="13">
        <v>52653.825340000003</v>
      </c>
      <c r="L50" s="8"/>
      <c r="M50" s="13">
        <v>-25</v>
      </c>
      <c r="N50" s="8"/>
      <c r="O50" s="13">
        <v>46</v>
      </c>
      <c r="P50" s="8"/>
    </row>
    <row r="51" spans="1:16" s="12" customFormat="1" ht="22.9" customHeight="1">
      <c r="A51" s="13">
        <v>45</v>
      </c>
      <c r="B51" s="8" t="s">
        <v>72</v>
      </c>
      <c r="C51" s="14">
        <v>0.84799999999999998</v>
      </c>
      <c r="D51" s="8"/>
      <c r="E51" s="15">
        <v>74.9101</v>
      </c>
      <c r="F51" s="8"/>
      <c r="G51" s="15">
        <v>14.51303959</v>
      </c>
      <c r="H51" s="8"/>
      <c r="I51" s="15">
        <v>12.91141987</v>
      </c>
      <c r="J51" s="8"/>
      <c r="K51" s="13">
        <v>30690.485519999998</v>
      </c>
      <c r="L51" s="8"/>
      <c r="M51" s="13">
        <v>1</v>
      </c>
      <c r="N51" s="8"/>
      <c r="O51" s="13">
        <v>40</v>
      </c>
      <c r="P51" s="8"/>
    </row>
    <row r="52" spans="1:16" s="12" customFormat="1" ht="22.9" customHeight="1">
      <c r="A52" s="13">
        <v>46</v>
      </c>
      <c r="B52" s="8" t="s">
        <v>73</v>
      </c>
      <c r="C52" s="14">
        <v>0.84599999999999997</v>
      </c>
      <c r="D52" s="8"/>
      <c r="E52" s="15">
        <v>74.530100000000004</v>
      </c>
      <c r="F52" s="8"/>
      <c r="G52" s="15">
        <v>15.0336281</v>
      </c>
      <c r="H52" s="16" t="s">
        <v>28</v>
      </c>
      <c r="I52" s="15">
        <v>12.24958992</v>
      </c>
      <c r="J52" s="8"/>
      <c r="K52" s="13">
        <v>32789.010629999997</v>
      </c>
      <c r="L52" s="8"/>
      <c r="M52" s="13">
        <v>-2</v>
      </c>
      <c r="N52" s="8"/>
      <c r="O52" s="13">
        <v>44</v>
      </c>
      <c r="P52" s="8"/>
    </row>
    <row r="53" spans="1:16" s="12" customFormat="1" ht="22.9" customHeight="1">
      <c r="A53" s="13">
        <v>47</v>
      </c>
      <c r="B53" s="8" t="s">
        <v>74</v>
      </c>
      <c r="C53" s="14">
        <v>0.84199999999999997</v>
      </c>
      <c r="D53" s="8"/>
      <c r="E53" s="15">
        <v>75.389899999999997</v>
      </c>
      <c r="F53" s="8"/>
      <c r="G53" s="15">
        <v>17.874870300000001</v>
      </c>
      <c r="H53" s="8"/>
      <c r="I53" s="15">
        <v>11.147269270000001</v>
      </c>
      <c r="J53" s="16" t="s">
        <v>28</v>
      </c>
      <c r="K53" s="13">
        <v>20925.26814</v>
      </c>
      <c r="L53" s="8"/>
      <c r="M53" s="13">
        <v>17</v>
      </c>
      <c r="N53" s="8"/>
      <c r="O53" s="13">
        <v>47</v>
      </c>
      <c r="P53" s="8"/>
    </row>
    <row r="54" spans="1:16" s="12" customFormat="1" ht="22.9" customHeight="1">
      <c r="A54" s="13">
        <v>48</v>
      </c>
      <c r="B54" s="8" t="s">
        <v>75</v>
      </c>
      <c r="C54" s="14">
        <v>0.83799999999999997</v>
      </c>
      <c r="D54" s="8"/>
      <c r="E54" s="15">
        <v>76.032399999999996</v>
      </c>
      <c r="F54" s="8"/>
      <c r="G54" s="15">
        <v>18.3382206</v>
      </c>
      <c r="H54" s="16" t="s">
        <v>20</v>
      </c>
      <c r="I54" s="15">
        <v>8.6331396100000006</v>
      </c>
      <c r="J54" s="8"/>
      <c r="K54" s="13">
        <v>31032.801060000002</v>
      </c>
      <c r="L54" s="8"/>
      <c r="M54" s="13">
        <v>-3</v>
      </c>
      <c r="N54" s="8"/>
      <c r="O54" s="13">
        <v>48</v>
      </c>
      <c r="P54" s="8"/>
    </row>
    <row r="55" spans="1:16" s="12" customFormat="1" ht="22.9" customHeight="1">
      <c r="A55" s="13">
        <v>49</v>
      </c>
      <c r="B55" s="8" t="s">
        <v>76</v>
      </c>
      <c r="C55" s="14">
        <v>0.83199999999999996</v>
      </c>
      <c r="D55" s="8"/>
      <c r="E55" s="15">
        <v>76.342600000000004</v>
      </c>
      <c r="F55" s="8"/>
      <c r="G55" s="15">
        <v>15.08160973</v>
      </c>
      <c r="H55" s="8"/>
      <c r="I55" s="15">
        <v>12.176483060000001</v>
      </c>
      <c r="J55" s="16" t="s">
        <v>28</v>
      </c>
      <c r="K55" s="13">
        <v>20838.801289999999</v>
      </c>
      <c r="L55" s="8"/>
      <c r="M55" s="13">
        <v>16</v>
      </c>
      <c r="N55" s="8"/>
      <c r="O55" s="13">
        <v>52</v>
      </c>
      <c r="P55" s="8"/>
    </row>
    <row r="56" spans="1:16" s="12" customFormat="1" ht="22.9" customHeight="1">
      <c r="A56" s="13">
        <v>50</v>
      </c>
      <c r="B56" s="8" t="s">
        <v>77</v>
      </c>
      <c r="C56" s="14">
        <v>0.83099999999999996</v>
      </c>
      <c r="D56" s="8"/>
      <c r="E56" s="15">
        <v>78.672899999999998</v>
      </c>
      <c r="F56" s="8"/>
      <c r="G56" s="15">
        <v>15.324433320000001</v>
      </c>
      <c r="H56" s="16" t="s">
        <v>28</v>
      </c>
      <c r="I56" s="15">
        <v>7.3280226180000003</v>
      </c>
      <c r="J56" s="16" t="s">
        <v>28</v>
      </c>
      <c r="K56" s="13">
        <v>52919.76137</v>
      </c>
      <c r="L56" s="8"/>
      <c r="M56" s="13">
        <v>-32</v>
      </c>
      <c r="N56" s="8"/>
      <c r="O56" s="13">
        <v>54</v>
      </c>
      <c r="P56" s="8"/>
    </row>
    <row r="57" spans="1:16" s="12" customFormat="1" ht="22.9" customHeight="1">
      <c r="A57" s="13">
        <v>51</v>
      </c>
      <c r="B57" s="8" t="s">
        <v>78</v>
      </c>
      <c r="C57" s="14">
        <v>0.82899999999999996</v>
      </c>
      <c r="D57" s="8"/>
      <c r="E57" s="15">
        <v>74.642399999999995</v>
      </c>
      <c r="F57" s="8"/>
      <c r="G57" s="15">
        <v>13.951780319999999</v>
      </c>
      <c r="H57" s="8"/>
      <c r="I57" s="15">
        <v>9.18</v>
      </c>
      <c r="J57" s="8"/>
      <c r="K57" s="13">
        <v>64489.539539999998</v>
      </c>
      <c r="L57" s="8"/>
      <c r="M57" s="13">
        <v>-42</v>
      </c>
      <c r="N57" s="8"/>
      <c r="O57" s="13">
        <v>49</v>
      </c>
      <c r="P57" s="8"/>
    </row>
    <row r="58" spans="1:16" s="12" customFormat="1" ht="22.9" customHeight="1">
      <c r="A58" s="13">
        <v>52</v>
      </c>
      <c r="B58" s="8" t="s">
        <v>79</v>
      </c>
      <c r="C58" s="14">
        <v>0.82199999999999995</v>
      </c>
      <c r="D58" s="8"/>
      <c r="E58" s="15">
        <v>69.418999999999997</v>
      </c>
      <c r="F58" s="8"/>
      <c r="G58" s="15">
        <v>15.76636982</v>
      </c>
      <c r="H58" s="8"/>
      <c r="I58" s="15">
        <v>12.774288049999999</v>
      </c>
      <c r="J58" s="16" t="s">
        <v>42</v>
      </c>
      <c r="K58" s="13">
        <v>27166.30891</v>
      </c>
      <c r="L58" s="8"/>
      <c r="M58" s="13">
        <v>-1</v>
      </c>
      <c r="N58" s="8"/>
      <c r="O58" s="13">
        <v>49</v>
      </c>
      <c r="P58" s="8"/>
    </row>
    <row r="59" spans="1:16" s="12" customFormat="1" ht="22.9" customHeight="1">
      <c r="A59" s="13">
        <v>53</v>
      </c>
      <c r="B59" s="8" t="s">
        <v>80</v>
      </c>
      <c r="C59" s="14">
        <v>0.82099999999999995</v>
      </c>
      <c r="D59" s="8"/>
      <c r="E59" s="15">
        <v>74.184700000000007</v>
      </c>
      <c r="F59" s="8"/>
      <c r="G59" s="15">
        <v>14.22990036</v>
      </c>
      <c r="H59" s="8"/>
      <c r="I59" s="15">
        <v>11.275119780000001</v>
      </c>
      <c r="J59" s="8"/>
      <c r="K59" s="13">
        <v>30027.291310000001</v>
      </c>
      <c r="L59" s="8"/>
      <c r="M59" s="13">
        <v>-4</v>
      </c>
      <c r="N59" s="8"/>
      <c r="O59" s="13">
        <v>53</v>
      </c>
      <c r="P59" s="8"/>
    </row>
    <row r="60" spans="1:16" s="12" customFormat="1" ht="22.9" customHeight="1">
      <c r="A60" s="13">
        <v>54</v>
      </c>
      <c r="B60" s="8" t="s">
        <v>81</v>
      </c>
      <c r="C60" s="14">
        <v>0.81599999999999995</v>
      </c>
      <c r="D60" s="8"/>
      <c r="E60" s="15">
        <v>72.540599999999998</v>
      </c>
      <c r="F60" s="8"/>
      <c r="G60" s="15">
        <v>14.573490140000001</v>
      </c>
      <c r="H60" s="8"/>
      <c r="I60" s="15">
        <v>11.65404034</v>
      </c>
      <c r="J60" s="8"/>
      <c r="K60" s="13">
        <v>27054.325049999999</v>
      </c>
      <c r="L60" s="8"/>
      <c r="M60" s="13">
        <v>-2</v>
      </c>
      <c r="N60" s="8"/>
      <c r="O60" s="13">
        <v>51</v>
      </c>
      <c r="P60" s="8"/>
    </row>
    <row r="61" spans="1:16" s="12" customFormat="1" ht="22.9" customHeight="1">
      <c r="A61" s="13">
        <v>55</v>
      </c>
      <c r="B61" s="8" t="s">
        <v>82</v>
      </c>
      <c r="C61" s="14">
        <v>0.81200000000000006</v>
      </c>
      <c r="D61" s="8"/>
      <c r="E61" s="15">
        <v>71.598299999999995</v>
      </c>
      <c r="F61" s="8"/>
      <c r="G61" s="15">
        <v>12.89945</v>
      </c>
      <c r="H61" s="16" t="s">
        <v>83</v>
      </c>
      <c r="I61" s="15">
        <v>12.64192386</v>
      </c>
      <c r="J61" s="16" t="s">
        <v>28</v>
      </c>
      <c r="K61" s="13">
        <v>30486.184290000001</v>
      </c>
      <c r="L61" s="8"/>
      <c r="M61" s="13">
        <v>-8</v>
      </c>
      <c r="N61" s="8"/>
      <c r="O61" s="13">
        <v>58</v>
      </c>
      <c r="P61" s="8"/>
    </row>
    <row r="62" spans="1:16" s="12" customFormat="1" ht="22.9" customHeight="1">
      <c r="A62" s="13">
        <v>56</v>
      </c>
      <c r="B62" s="8" t="s">
        <v>84</v>
      </c>
      <c r="C62" s="14">
        <v>0.81100000000000005</v>
      </c>
      <c r="D62" s="8"/>
      <c r="E62" s="15">
        <v>69.362200000000001</v>
      </c>
      <c r="F62" s="8"/>
      <c r="G62" s="15">
        <v>15.76500034</v>
      </c>
      <c r="H62" s="8"/>
      <c r="I62" s="15">
        <v>12.34756189</v>
      </c>
      <c r="J62" s="16" t="s">
        <v>28</v>
      </c>
      <c r="K62" s="13">
        <v>23942.818370000001</v>
      </c>
      <c r="L62" s="8"/>
      <c r="M62" s="13">
        <v>1</v>
      </c>
      <c r="N62" s="8"/>
      <c r="O62" s="13">
        <v>59</v>
      </c>
      <c r="P62" s="8"/>
    </row>
    <row r="63" spans="1:16" s="12" customFormat="1" ht="22.9" customHeight="1">
      <c r="A63" s="13">
        <v>57</v>
      </c>
      <c r="B63" s="8" t="s">
        <v>85</v>
      </c>
      <c r="C63" s="14">
        <v>0.81</v>
      </c>
      <c r="D63" s="8"/>
      <c r="E63" s="15">
        <v>72.9709</v>
      </c>
      <c r="F63" s="8"/>
      <c r="G63" s="15">
        <v>14.535452920000001</v>
      </c>
      <c r="H63" s="16" t="s">
        <v>86</v>
      </c>
      <c r="I63" s="15">
        <v>11.610624189999999</v>
      </c>
      <c r="J63" s="16" t="s">
        <v>28</v>
      </c>
      <c r="K63" s="13">
        <v>23392.020840000001</v>
      </c>
      <c r="L63" s="8"/>
      <c r="M63" s="13">
        <v>1</v>
      </c>
      <c r="N63" s="8"/>
      <c r="O63" s="13">
        <v>56</v>
      </c>
      <c r="P63" s="8"/>
    </row>
    <row r="64" spans="1:16" s="12" customFormat="1" ht="22.9" customHeight="1">
      <c r="A64" s="13">
        <v>58</v>
      </c>
      <c r="B64" s="8" t="s">
        <v>87</v>
      </c>
      <c r="C64" s="14">
        <v>0.80900000000000005</v>
      </c>
      <c r="D64" s="8"/>
      <c r="E64" s="15">
        <v>77.023200000000003</v>
      </c>
      <c r="F64" s="8"/>
      <c r="G64" s="15">
        <v>16.545770650000001</v>
      </c>
      <c r="H64" s="8"/>
      <c r="I64" s="15">
        <v>8.8040599820000001</v>
      </c>
      <c r="J64" s="8"/>
      <c r="K64" s="13">
        <v>19974.273580000001</v>
      </c>
      <c r="L64" s="8"/>
      <c r="M64" s="13">
        <v>8</v>
      </c>
      <c r="N64" s="8"/>
      <c r="O64" s="13">
        <v>57</v>
      </c>
      <c r="P64" s="8"/>
    </row>
    <row r="65" spans="1:16" s="12" customFormat="1" ht="22.9" customHeight="1">
      <c r="A65" s="13">
        <v>58</v>
      </c>
      <c r="B65" s="8" t="s">
        <v>88</v>
      </c>
      <c r="C65" s="14">
        <v>0.80900000000000005</v>
      </c>
      <c r="D65" s="8"/>
      <c r="E65" s="15">
        <v>75.435599999999994</v>
      </c>
      <c r="F65" s="8"/>
      <c r="G65" s="15">
        <v>16.832599640000002</v>
      </c>
      <c r="H65" s="8"/>
      <c r="I65" s="15">
        <v>8.9825496670000007</v>
      </c>
      <c r="J65" s="8"/>
      <c r="K65" s="13">
        <v>21268.881219999999</v>
      </c>
      <c r="L65" s="8"/>
      <c r="M65" s="13">
        <v>5</v>
      </c>
      <c r="N65" s="8"/>
      <c r="O65" s="13">
        <v>55</v>
      </c>
      <c r="P65" s="8"/>
    </row>
    <row r="66" spans="1:16" s="12" customFormat="1" ht="22.9" customHeight="1">
      <c r="A66" s="13">
        <v>60</v>
      </c>
      <c r="B66" s="8" t="s">
        <v>89</v>
      </c>
      <c r="C66" s="14">
        <v>0.80800000000000005</v>
      </c>
      <c r="D66" s="8"/>
      <c r="E66" s="15">
        <v>72.438000000000002</v>
      </c>
      <c r="F66" s="8"/>
      <c r="G66" s="15">
        <v>15.16996956</v>
      </c>
      <c r="H66" s="8"/>
      <c r="I66" s="15">
        <v>12.143580439999999</v>
      </c>
      <c r="J66" s="8"/>
      <c r="K66" s="13">
        <v>18848.96704</v>
      </c>
      <c r="L66" s="8"/>
      <c r="M66" s="13">
        <v>8</v>
      </c>
      <c r="N66" s="8"/>
      <c r="O66" s="13">
        <v>60</v>
      </c>
      <c r="P66" s="8"/>
    </row>
    <row r="67" spans="1:16" s="12" customFormat="1" ht="22.9" customHeight="1">
      <c r="A67" s="13">
        <v>61</v>
      </c>
      <c r="B67" s="8" t="s">
        <v>90</v>
      </c>
      <c r="C67" s="14">
        <v>0.80500000000000005</v>
      </c>
      <c r="D67" s="8"/>
      <c r="E67" s="15">
        <v>76.223299999999995</v>
      </c>
      <c r="F67" s="8"/>
      <c r="G67" s="15">
        <v>13.05787868</v>
      </c>
      <c r="H67" s="16" t="s">
        <v>28</v>
      </c>
      <c r="I67" s="15">
        <v>10.540590290000001</v>
      </c>
      <c r="J67" s="8"/>
      <c r="K67" s="13">
        <v>26956.837070000001</v>
      </c>
      <c r="L67" s="8"/>
      <c r="M67" s="13">
        <v>-8</v>
      </c>
      <c r="N67" s="8"/>
      <c r="O67" s="13">
        <v>67</v>
      </c>
      <c r="P67" s="8"/>
    </row>
    <row r="68" spans="1:16" s="12" customFormat="1" ht="22.9" customHeight="1">
      <c r="A68" s="13">
        <v>62</v>
      </c>
      <c r="B68" s="8" t="s">
        <v>91</v>
      </c>
      <c r="C68" s="14">
        <v>0.80300000000000005</v>
      </c>
      <c r="D68" s="8"/>
      <c r="E68" s="15">
        <v>74.883899999999997</v>
      </c>
      <c r="F68" s="8"/>
      <c r="G68" s="15">
        <v>13.34304047</v>
      </c>
      <c r="H68" s="8"/>
      <c r="I68" s="15">
        <v>10.645059590000001</v>
      </c>
      <c r="J68" s="8"/>
      <c r="K68" s="13">
        <v>26657.94355</v>
      </c>
      <c r="L68" s="8"/>
      <c r="M68" s="13">
        <v>-8</v>
      </c>
      <c r="N68" s="8"/>
      <c r="O68" s="13">
        <v>61</v>
      </c>
      <c r="P68" s="8"/>
    </row>
    <row r="69" spans="1:16" s="12" customFormat="1" ht="22.9" customHeight="1">
      <c r="A69" s="13">
        <v>63</v>
      </c>
      <c r="B69" s="8" t="s">
        <v>92</v>
      </c>
      <c r="C69" s="14">
        <v>0.80200000000000005</v>
      </c>
      <c r="D69" s="8"/>
      <c r="E69" s="15">
        <v>71.694000000000003</v>
      </c>
      <c r="F69" s="8"/>
      <c r="G69" s="15">
        <v>15.568519589999999</v>
      </c>
      <c r="H69" s="8"/>
      <c r="I69" s="15">
        <v>12.82221985</v>
      </c>
      <c r="J69" s="8"/>
      <c r="K69" s="13">
        <v>14664.168250000001</v>
      </c>
      <c r="L69" s="8"/>
      <c r="M69" s="13">
        <v>17</v>
      </c>
      <c r="N69" s="8"/>
      <c r="O69" s="13">
        <v>64</v>
      </c>
      <c r="P69" s="8"/>
    </row>
    <row r="70" spans="1:16" s="12" customFormat="1" ht="22.9" customHeight="1">
      <c r="A70" s="13">
        <v>63</v>
      </c>
      <c r="B70" s="8" t="s">
        <v>93</v>
      </c>
      <c r="C70" s="14">
        <v>0.80200000000000005</v>
      </c>
      <c r="D70" s="8"/>
      <c r="E70" s="15">
        <v>73.555199999999999</v>
      </c>
      <c r="F70" s="8"/>
      <c r="G70" s="15">
        <v>15.17352977</v>
      </c>
      <c r="H70" s="16" t="s">
        <v>28</v>
      </c>
      <c r="I70" s="15">
        <v>10.42791048</v>
      </c>
      <c r="J70" s="16" t="s">
        <v>28</v>
      </c>
      <c r="K70" s="13">
        <v>22025.346310000001</v>
      </c>
      <c r="L70" s="8"/>
      <c r="M70" s="13">
        <v>-1</v>
      </c>
      <c r="N70" s="8"/>
      <c r="O70" s="13">
        <v>62</v>
      </c>
      <c r="P70" s="8"/>
    </row>
    <row r="71" spans="1:16" s="12" customFormat="1" ht="22.9" customHeight="1">
      <c r="A71" s="13">
        <v>63</v>
      </c>
      <c r="B71" s="8" t="s">
        <v>94</v>
      </c>
      <c r="C71" s="14">
        <v>0.80200000000000005</v>
      </c>
      <c r="D71" s="8"/>
      <c r="E71" s="15">
        <v>74.192300000000003</v>
      </c>
      <c r="F71" s="8"/>
      <c r="G71" s="15">
        <v>14.400090219999999</v>
      </c>
      <c r="H71" s="8"/>
      <c r="I71" s="15">
        <v>11.36987019</v>
      </c>
      <c r="J71" s="8"/>
      <c r="K71" s="13">
        <v>19123.027470000001</v>
      </c>
      <c r="L71" s="8"/>
      <c r="M71" s="13">
        <v>4</v>
      </c>
      <c r="N71" s="8"/>
      <c r="O71" s="13">
        <v>62</v>
      </c>
      <c r="P71" s="8"/>
    </row>
    <row r="72" spans="1:16" s="12" customFormat="1" ht="22.9" customHeight="1">
      <c r="A72" s="13">
        <v>66</v>
      </c>
      <c r="B72" s="8" t="s">
        <v>95</v>
      </c>
      <c r="C72" s="14">
        <v>0.8</v>
      </c>
      <c r="D72" s="8"/>
      <c r="E72" s="15">
        <v>78.715400000000002</v>
      </c>
      <c r="F72" s="8"/>
      <c r="G72" s="15">
        <v>15.882219129999999</v>
      </c>
      <c r="H72" s="16" t="s">
        <v>86</v>
      </c>
      <c r="I72" s="15">
        <v>8.6971197129999993</v>
      </c>
      <c r="J72" s="8"/>
      <c r="K72" s="13">
        <v>17030.15352</v>
      </c>
      <c r="L72" s="8"/>
      <c r="M72" s="13">
        <v>6</v>
      </c>
      <c r="N72" s="8"/>
      <c r="O72" s="13">
        <v>64</v>
      </c>
      <c r="P72" s="8"/>
    </row>
    <row r="73" spans="1:16" s="12" customFormat="1" ht="22.9" customHeight="1">
      <c r="A73" s="8"/>
      <c r="B73" s="32" t="s">
        <v>96</v>
      </c>
      <c r="C73" s="32"/>
      <c r="D73" s="32"/>
      <c r="E73" s="32"/>
      <c r="F73" s="32"/>
      <c r="G73" s="32"/>
      <c r="H73" s="32"/>
      <c r="I73" s="32"/>
      <c r="J73" s="32"/>
      <c r="K73" s="32"/>
      <c r="L73" s="32"/>
      <c r="M73" s="32"/>
      <c r="N73" s="32"/>
      <c r="O73" s="32"/>
      <c r="P73" s="8"/>
    </row>
    <row r="74" spans="1:16" s="12" customFormat="1" ht="22.9" customHeight="1">
      <c r="A74" s="13">
        <v>67</v>
      </c>
      <c r="B74" s="8" t="s">
        <v>97</v>
      </c>
      <c r="C74" s="14">
        <v>0.79600000000000004</v>
      </c>
      <c r="D74" s="8"/>
      <c r="E74" s="15">
        <v>76.462599999999995</v>
      </c>
      <c r="F74" s="8"/>
      <c r="G74" s="15">
        <v>14.44799995</v>
      </c>
      <c r="H74" s="8"/>
      <c r="I74" s="15">
        <v>11.28645502</v>
      </c>
      <c r="J74" s="16" t="s">
        <v>28</v>
      </c>
      <c r="K74" s="13">
        <v>14131.11039</v>
      </c>
      <c r="L74" s="8"/>
      <c r="M74" s="13">
        <v>17</v>
      </c>
      <c r="N74" s="8"/>
      <c r="O74" s="13">
        <v>68</v>
      </c>
      <c r="P74" s="8"/>
    </row>
    <row r="75" spans="1:16" s="12" customFormat="1" ht="22.9" customHeight="1">
      <c r="A75" s="13">
        <v>68</v>
      </c>
      <c r="B75" s="8" t="s">
        <v>98</v>
      </c>
      <c r="C75" s="14">
        <v>0.79500000000000004</v>
      </c>
      <c r="D75" s="8"/>
      <c r="E75" s="15">
        <v>71.798000000000002</v>
      </c>
      <c r="F75" s="8"/>
      <c r="G75" s="15">
        <v>13.897290229999999</v>
      </c>
      <c r="H75" s="8"/>
      <c r="I75" s="15">
        <v>11.413180349999999</v>
      </c>
      <c r="J75" s="8"/>
      <c r="K75" s="13">
        <v>23078.95595</v>
      </c>
      <c r="L75" s="8"/>
      <c r="M75" s="13">
        <v>-8</v>
      </c>
      <c r="N75" s="8"/>
      <c r="O75" s="13">
        <v>64</v>
      </c>
      <c r="P75" s="8"/>
    </row>
    <row r="76" spans="1:16" s="12" customFormat="1" ht="22.9" customHeight="1">
      <c r="A76" s="13">
        <v>68</v>
      </c>
      <c r="B76" s="8" t="s">
        <v>99</v>
      </c>
      <c r="C76" s="14">
        <v>0.79500000000000004</v>
      </c>
      <c r="D76" s="8"/>
      <c r="E76" s="15">
        <v>74.936199999999999</v>
      </c>
      <c r="F76" s="8"/>
      <c r="G76" s="15">
        <v>18.662020349999999</v>
      </c>
      <c r="H76" s="16" t="s">
        <v>32</v>
      </c>
      <c r="I76" s="15">
        <v>9.0321040000000004</v>
      </c>
      <c r="J76" s="16" t="s">
        <v>83</v>
      </c>
      <c r="K76" s="13">
        <v>13483.5774</v>
      </c>
      <c r="L76" s="8"/>
      <c r="M76" s="13">
        <v>18</v>
      </c>
      <c r="N76" s="8"/>
      <c r="O76" s="13">
        <v>70</v>
      </c>
      <c r="P76" s="8"/>
    </row>
    <row r="77" spans="1:16" s="12" customFormat="1" ht="22.9" customHeight="1">
      <c r="A77" s="13">
        <v>70</v>
      </c>
      <c r="B77" s="8" t="s">
        <v>100</v>
      </c>
      <c r="C77" s="14">
        <v>0.79</v>
      </c>
      <c r="D77" s="8"/>
      <c r="E77" s="15">
        <v>77.571399999999997</v>
      </c>
      <c r="F77" s="8"/>
      <c r="G77" s="15">
        <v>15.71338458</v>
      </c>
      <c r="H77" s="16" t="s">
        <v>28</v>
      </c>
      <c r="I77" s="15">
        <v>9.852700596</v>
      </c>
      <c r="J77" s="16" t="s">
        <v>101</v>
      </c>
      <c r="K77" s="13">
        <v>12306.341</v>
      </c>
      <c r="L77" s="8"/>
      <c r="M77" s="13">
        <v>26</v>
      </c>
      <c r="N77" s="8"/>
      <c r="O77" s="13">
        <v>71</v>
      </c>
      <c r="P77" s="8"/>
    </row>
    <row r="78" spans="1:16" s="12" customFormat="1" ht="22.9" customHeight="1">
      <c r="A78" s="13">
        <v>71</v>
      </c>
      <c r="B78" s="8" t="s">
        <v>102</v>
      </c>
      <c r="C78" s="14">
        <v>0.78800000000000003</v>
      </c>
      <c r="D78" s="8"/>
      <c r="E78" s="15">
        <v>78.496799999999993</v>
      </c>
      <c r="F78" s="8"/>
      <c r="G78" s="15">
        <v>14.18462641</v>
      </c>
      <c r="H78" s="16" t="s">
        <v>28</v>
      </c>
      <c r="I78" s="15">
        <v>9.2937407459999992</v>
      </c>
      <c r="J78" s="16" t="s">
        <v>66</v>
      </c>
      <c r="K78" s="13">
        <v>16792.365949999999</v>
      </c>
      <c r="L78" s="8"/>
      <c r="M78" s="13">
        <v>2</v>
      </c>
      <c r="N78" s="8"/>
      <c r="O78" s="13">
        <v>71</v>
      </c>
      <c r="P78" s="8"/>
    </row>
    <row r="79" spans="1:16" s="12" customFormat="1" ht="22.9" customHeight="1">
      <c r="A79" s="13">
        <v>72</v>
      </c>
      <c r="B79" s="8" t="s">
        <v>103</v>
      </c>
      <c r="C79" s="14">
        <v>0.78500000000000003</v>
      </c>
      <c r="D79" s="8"/>
      <c r="E79" s="15">
        <v>71.294499999999999</v>
      </c>
      <c r="F79" s="8"/>
      <c r="G79" s="15">
        <v>13.94161034</v>
      </c>
      <c r="H79" s="8"/>
      <c r="I79" s="15">
        <v>10.28312</v>
      </c>
      <c r="J79" s="8"/>
      <c r="K79" s="13">
        <v>25830.617750000001</v>
      </c>
      <c r="L79" s="8"/>
      <c r="M79" s="13">
        <v>-17</v>
      </c>
      <c r="N79" s="8"/>
      <c r="O79" s="13">
        <v>69</v>
      </c>
      <c r="P79" s="8"/>
    </row>
    <row r="80" spans="1:16" s="12" customFormat="1" ht="22.9" customHeight="1">
      <c r="A80" s="13">
        <v>73</v>
      </c>
      <c r="B80" s="8" t="s">
        <v>104</v>
      </c>
      <c r="C80" s="14">
        <v>0.78200000000000003</v>
      </c>
      <c r="D80" s="8"/>
      <c r="E80" s="15">
        <v>76.399100000000004</v>
      </c>
      <c r="F80" s="8"/>
      <c r="G80" s="15">
        <v>14.13990486</v>
      </c>
      <c r="H80" s="16" t="s">
        <v>28</v>
      </c>
      <c r="I80" s="15">
        <v>10.82730007</v>
      </c>
      <c r="J80" s="8"/>
      <c r="K80" s="13">
        <v>12578.22055</v>
      </c>
      <c r="L80" s="8"/>
      <c r="M80" s="13">
        <v>21</v>
      </c>
      <c r="N80" s="8"/>
      <c r="O80" s="13">
        <v>75</v>
      </c>
      <c r="P80" s="8"/>
    </row>
    <row r="81" spans="1:16" s="12" customFormat="1" ht="22.9" customHeight="1">
      <c r="A81" s="13">
        <v>74</v>
      </c>
      <c r="B81" s="8" t="s">
        <v>105</v>
      </c>
      <c r="C81" s="14">
        <v>0.78</v>
      </c>
      <c r="D81" s="8"/>
      <c r="E81" s="15">
        <v>75.300299999999993</v>
      </c>
      <c r="F81" s="8"/>
      <c r="G81" s="15">
        <v>13.8</v>
      </c>
      <c r="H81" s="16" t="s">
        <v>66</v>
      </c>
      <c r="I81" s="15">
        <v>10.536319730000001</v>
      </c>
      <c r="J81" s="8"/>
      <c r="K81" s="13">
        <v>15241.914650000001</v>
      </c>
      <c r="L81" s="8"/>
      <c r="M81" s="13">
        <v>4</v>
      </c>
      <c r="N81" s="8"/>
      <c r="O81" s="13">
        <v>73</v>
      </c>
      <c r="P81" s="8"/>
    </row>
    <row r="82" spans="1:16" s="12" customFormat="1" ht="22.9" customHeight="1">
      <c r="A82" s="13">
        <v>75</v>
      </c>
      <c r="B82" s="8" t="s">
        <v>106</v>
      </c>
      <c r="C82" s="14">
        <v>0.77700000000000002</v>
      </c>
      <c r="D82" s="8"/>
      <c r="E82" s="15">
        <v>71.682199999999995</v>
      </c>
      <c r="F82" s="8"/>
      <c r="G82" s="15">
        <v>15.42769157</v>
      </c>
      <c r="H82" s="16" t="s">
        <v>28</v>
      </c>
      <c r="I82" s="15">
        <v>8.6627449999999993</v>
      </c>
      <c r="J82" s="16" t="s">
        <v>83</v>
      </c>
      <c r="K82" s="13">
        <v>23358.332119999999</v>
      </c>
      <c r="L82" s="8"/>
      <c r="M82" s="13">
        <v>-16</v>
      </c>
      <c r="N82" s="8"/>
      <c r="O82" s="13">
        <v>76</v>
      </c>
      <c r="P82" s="8"/>
    </row>
    <row r="83" spans="1:16" s="12" customFormat="1" ht="22.9" customHeight="1">
      <c r="A83" s="13">
        <v>76</v>
      </c>
      <c r="B83" s="8" t="s">
        <v>107</v>
      </c>
      <c r="C83" s="14">
        <v>0.77400000000000002</v>
      </c>
      <c r="D83" s="8"/>
      <c r="E83" s="15">
        <v>73.874899999999997</v>
      </c>
      <c r="F83" s="8"/>
      <c r="G83" s="15">
        <v>14.615249629999999</v>
      </c>
      <c r="H83" s="8"/>
      <c r="I83" s="15">
        <v>10.63645314</v>
      </c>
      <c r="J83" s="16" t="s">
        <v>28</v>
      </c>
      <c r="K83" s="13">
        <v>13000.7117</v>
      </c>
      <c r="L83" s="8"/>
      <c r="M83" s="13">
        <v>15</v>
      </c>
      <c r="N83" s="8"/>
      <c r="O83" s="13">
        <v>77</v>
      </c>
      <c r="P83" s="8"/>
    </row>
    <row r="84" spans="1:16" s="12" customFormat="1" ht="22.9" customHeight="1">
      <c r="A84" s="13">
        <v>77</v>
      </c>
      <c r="B84" s="8" t="s">
        <v>108</v>
      </c>
      <c r="C84" s="14">
        <v>0.77300000000000002</v>
      </c>
      <c r="D84" s="8"/>
      <c r="E84" s="15">
        <v>71.623999999999995</v>
      </c>
      <c r="F84" s="8"/>
      <c r="G84" s="15">
        <v>14.956568539999999</v>
      </c>
      <c r="H84" s="16" t="s">
        <v>28</v>
      </c>
      <c r="I84" s="15">
        <v>11.13142043</v>
      </c>
      <c r="J84" s="16" t="s">
        <v>101</v>
      </c>
      <c r="K84" s="13">
        <v>13255.509770000001</v>
      </c>
      <c r="L84" s="8"/>
      <c r="M84" s="13">
        <v>11</v>
      </c>
      <c r="N84" s="8"/>
      <c r="O84" s="13">
        <v>78</v>
      </c>
      <c r="P84" s="8"/>
    </row>
    <row r="85" spans="1:16" s="12" customFormat="1" ht="22.9" customHeight="1">
      <c r="A85" s="13">
        <v>78</v>
      </c>
      <c r="B85" s="8" t="s">
        <v>109</v>
      </c>
      <c r="C85" s="14">
        <v>0.77</v>
      </c>
      <c r="D85" s="8"/>
      <c r="E85" s="15">
        <v>73.841499999999996</v>
      </c>
      <c r="F85" s="8"/>
      <c r="G85" s="15">
        <v>13.62443234</v>
      </c>
      <c r="H85" s="16" t="s">
        <v>28</v>
      </c>
      <c r="I85" s="15">
        <v>10.22815037</v>
      </c>
      <c r="J85" s="8"/>
      <c r="K85" s="13">
        <v>15917.752829999999</v>
      </c>
      <c r="L85" s="8"/>
      <c r="M85" s="13">
        <v>-3</v>
      </c>
      <c r="N85" s="8"/>
      <c r="O85" s="13">
        <v>79</v>
      </c>
      <c r="P85" s="8"/>
    </row>
    <row r="86" spans="1:16" s="12" customFormat="1" ht="22.9" customHeight="1">
      <c r="A86" s="13">
        <v>79</v>
      </c>
      <c r="B86" s="8" t="s">
        <v>110</v>
      </c>
      <c r="C86" s="14">
        <v>0.76800000000000002</v>
      </c>
      <c r="D86" s="8"/>
      <c r="E86" s="15">
        <v>78.210700000000003</v>
      </c>
      <c r="F86" s="8"/>
      <c r="G86" s="15">
        <v>14.2361149</v>
      </c>
      <c r="H86" s="16" t="s">
        <v>28</v>
      </c>
      <c r="I86" s="15">
        <v>7.6001184459999998</v>
      </c>
      <c r="J86" s="16" t="s">
        <v>101</v>
      </c>
      <c r="K86" s="13">
        <v>17504.399689999998</v>
      </c>
      <c r="L86" s="8"/>
      <c r="M86" s="13">
        <v>-8</v>
      </c>
      <c r="N86" s="8"/>
      <c r="O86" s="13">
        <v>82</v>
      </c>
      <c r="P86" s="8"/>
    </row>
    <row r="87" spans="1:16" s="12" customFormat="1" ht="22.9" customHeight="1">
      <c r="A87" s="13">
        <v>80</v>
      </c>
      <c r="B87" s="8" t="s">
        <v>111</v>
      </c>
      <c r="C87" s="14">
        <v>0.76700000000000002</v>
      </c>
      <c r="D87" s="8"/>
      <c r="E87" s="15">
        <v>72.614599999999996</v>
      </c>
      <c r="F87" s="8"/>
      <c r="G87" s="15">
        <v>14.466558020000001</v>
      </c>
      <c r="H87" s="16" t="s">
        <v>28</v>
      </c>
      <c r="I87" s="15">
        <v>9.3068641070000009</v>
      </c>
      <c r="J87" s="16" t="s">
        <v>112</v>
      </c>
      <c r="K87" s="13">
        <v>17989.60037</v>
      </c>
      <c r="L87" s="8"/>
      <c r="M87" s="13">
        <v>-11</v>
      </c>
      <c r="N87" s="8"/>
      <c r="O87" s="13">
        <v>82</v>
      </c>
      <c r="P87" s="8"/>
    </row>
    <row r="88" spans="1:16" s="12" customFormat="1" ht="22.9" customHeight="1">
      <c r="A88" s="13">
        <v>80</v>
      </c>
      <c r="B88" s="8" t="s">
        <v>113</v>
      </c>
      <c r="C88" s="14">
        <v>0.76700000000000002</v>
      </c>
      <c r="D88" s="8"/>
      <c r="E88" s="15">
        <v>68.8459</v>
      </c>
      <c r="F88" s="8"/>
      <c r="G88" s="15">
        <v>14.43299961</v>
      </c>
      <c r="H88" s="8"/>
      <c r="I88" s="15">
        <v>11.82159042</v>
      </c>
      <c r="J88" s="8"/>
      <c r="K88" s="13">
        <v>14875.331889999999</v>
      </c>
      <c r="L88" s="8"/>
      <c r="M88" s="13">
        <v>-1</v>
      </c>
      <c r="N88" s="8"/>
      <c r="O88" s="13">
        <v>81</v>
      </c>
      <c r="P88" s="8"/>
    </row>
    <row r="89" spans="1:16" s="12" customFormat="1" ht="22.9" customHeight="1">
      <c r="A89" s="13">
        <v>80</v>
      </c>
      <c r="B89" s="8" t="s">
        <v>114</v>
      </c>
      <c r="C89" s="14">
        <v>0.76700000000000002</v>
      </c>
      <c r="D89" s="8"/>
      <c r="E89" s="15">
        <v>66.020399999999995</v>
      </c>
      <c r="F89" s="8"/>
      <c r="G89" s="15">
        <v>15.784319999999999</v>
      </c>
      <c r="H89" s="16" t="s">
        <v>28</v>
      </c>
      <c r="I89" s="15">
        <v>12.491429999999999</v>
      </c>
      <c r="J89" s="16" t="s">
        <v>115</v>
      </c>
      <c r="K89" s="13">
        <v>13818.678690000001</v>
      </c>
      <c r="L89" s="8"/>
      <c r="M89" s="13">
        <v>5</v>
      </c>
      <c r="N89" s="8"/>
      <c r="O89" s="13">
        <v>80</v>
      </c>
      <c r="P89" s="8"/>
    </row>
    <row r="90" spans="1:16" s="12" customFormat="1" ht="22.9" customHeight="1">
      <c r="A90" s="13">
        <v>83</v>
      </c>
      <c r="B90" s="8" t="s">
        <v>116</v>
      </c>
      <c r="C90" s="14">
        <v>0.76400000000000001</v>
      </c>
      <c r="D90" s="8"/>
      <c r="E90" s="15">
        <v>73.682900000000004</v>
      </c>
      <c r="F90" s="8"/>
      <c r="G90" s="15">
        <v>14.44305992</v>
      </c>
      <c r="H90" s="8"/>
      <c r="I90" s="15">
        <v>12.497734380000001</v>
      </c>
      <c r="J90" s="16" t="s">
        <v>28</v>
      </c>
      <c r="K90" s="13">
        <v>7878.8474820000001</v>
      </c>
      <c r="L90" s="16" t="s">
        <v>117</v>
      </c>
      <c r="M90" s="13">
        <v>37</v>
      </c>
      <c r="N90" s="8"/>
      <c r="O90" s="13">
        <v>73</v>
      </c>
      <c r="P90" s="8"/>
    </row>
    <row r="91" spans="1:16" s="12" customFormat="1" ht="22.9" customHeight="1">
      <c r="A91" s="13">
        <v>84</v>
      </c>
      <c r="B91" s="8" t="s">
        <v>118</v>
      </c>
      <c r="C91" s="14">
        <v>0.76200000000000001</v>
      </c>
      <c r="D91" s="8"/>
      <c r="E91" s="15">
        <v>72.376900000000006</v>
      </c>
      <c r="F91" s="8"/>
      <c r="G91" s="15">
        <v>15.387733539999999</v>
      </c>
      <c r="H91" s="16" t="s">
        <v>28</v>
      </c>
      <c r="I91" s="15">
        <v>9.8855188629999997</v>
      </c>
      <c r="J91" s="16" t="s">
        <v>28</v>
      </c>
      <c r="K91" s="13">
        <v>12245.89366</v>
      </c>
      <c r="L91" s="8"/>
      <c r="M91" s="13">
        <v>13</v>
      </c>
      <c r="N91" s="8"/>
      <c r="O91" s="13">
        <v>85</v>
      </c>
      <c r="P91" s="8"/>
    </row>
    <row r="92" spans="1:16" s="12" customFormat="1" ht="22.9" customHeight="1">
      <c r="A92" s="13">
        <v>85</v>
      </c>
      <c r="B92" s="8" t="s">
        <v>119</v>
      </c>
      <c r="C92" s="14">
        <v>0.75900000000000001</v>
      </c>
      <c r="D92" s="8"/>
      <c r="E92" s="15">
        <v>72.043099999999995</v>
      </c>
      <c r="F92" s="8"/>
      <c r="G92" s="15">
        <v>13.11676025</v>
      </c>
      <c r="H92" s="8"/>
      <c r="I92" s="15">
        <v>11.33030033</v>
      </c>
      <c r="J92" s="8"/>
      <c r="K92" s="13">
        <v>13157.993899999999</v>
      </c>
      <c r="L92" s="8"/>
      <c r="M92" s="13">
        <v>4</v>
      </c>
      <c r="N92" s="8"/>
      <c r="O92" s="13">
        <v>87</v>
      </c>
      <c r="P92" s="8"/>
    </row>
    <row r="93" spans="1:16" s="12" customFormat="1" ht="22.9" customHeight="1">
      <c r="A93" s="13">
        <v>86</v>
      </c>
      <c r="B93" s="8" t="s">
        <v>120</v>
      </c>
      <c r="C93" s="14">
        <v>0.75800000000000001</v>
      </c>
      <c r="D93" s="8"/>
      <c r="E93" s="15">
        <v>70.212699999999998</v>
      </c>
      <c r="F93" s="8"/>
      <c r="G93" s="15">
        <v>14.86443996</v>
      </c>
      <c r="H93" s="8"/>
      <c r="I93" s="15">
        <v>9.2210502620000003</v>
      </c>
      <c r="J93" s="8"/>
      <c r="K93" s="13">
        <v>17896.294979999999</v>
      </c>
      <c r="L93" s="8"/>
      <c r="M93" s="13">
        <v>-16</v>
      </c>
      <c r="N93" s="8"/>
      <c r="O93" s="13">
        <v>88</v>
      </c>
      <c r="P93" s="8"/>
    </row>
    <row r="94" spans="1:16" s="12" customFormat="1" ht="22.9" customHeight="1">
      <c r="A94" s="13">
        <v>87</v>
      </c>
      <c r="B94" s="8" t="s">
        <v>121</v>
      </c>
      <c r="C94" s="14">
        <v>0.754</v>
      </c>
      <c r="D94" s="8"/>
      <c r="E94" s="15">
        <v>72.750399999999999</v>
      </c>
      <c r="F94" s="8"/>
      <c r="G94" s="15">
        <v>15.599060059999999</v>
      </c>
      <c r="H94" s="8"/>
      <c r="I94" s="15">
        <v>8.128813955</v>
      </c>
      <c r="J94" s="16" t="s">
        <v>28</v>
      </c>
      <c r="K94" s="13">
        <v>14369.88848</v>
      </c>
      <c r="L94" s="8"/>
      <c r="M94" s="13">
        <v>-5</v>
      </c>
      <c r="N94" s="8"/>
      <c r="O94" s="13">
        <v>86</v>
      </c>
      <c r="P94" s="8"/>
    </row>
    <row r="95" spans="1:16" s="12" customFormat="1" ht="22.9" customHeight="1">
      <c r="A95" s="13">
        <v>88</v>
      </c>
      <c r="B95" s="8" t="s">
        <v>122</v>
      </c>
      <c r="C95" s="14">
        <v>0.752</v>
      </c>
      <c r="D95" s="8"/>
      <c r="E95" s="15">
        <v>72.829599999999999</v>
      </c>
      <c r="F95" s="8"/>
      <c r="G95" s="15">
        <v>14.44274998</v>
      </c>
      <c r="H95" s="8"/>
      <c r="I95" s="15">
        <v>8.8628597259999999</v>
      </c>
      <c r="J95" s="8"/>
      <c r="K95" s="13">
        <v>14384.356659999999</v>
      </c>
      <c r="L95" s="8"/>
      <c r="M95" s="13">
        <v>-7</v>
      </c>
      <c r="N95" s="8"/>
      <c r="O95" s="13">
        <v>88</v>
      </c>
      <c r="P95" s="8"/>
    </row>
    <row r="96" spans="1:16" s="12" customFormat="1" ht="22.9" customHeight="1">
      <c r="A96" s="13">
        <v>89</v>
      </c>
      <c r="B96" s="8" t="s">
        <v>123</v>
      </c>
      <c r="C96" s="14">
        <v>0.751</v>
      </c>
      <c r="D96" s="8"/>
      <c r="E96" s="15">
        <v>69.629099999999994</v>
      </c>
      <c r="F96" s="8"/>
      <c r="G96" s="15">
        <v>14.67220567</v>
      </c>
      <c r="H96" s="16" t="s">
        <v>28</v>
      </c>
      <c r="I96" s="15">
        <v>10.833430290000001</v>
      </c>
      <c r="J96" s="8"/>
      <c r="K96" s="13">
        <v>11961.08792</v>
      </c>
      <c r="L96" s="8"/>
      <c r="M96" s="13">
        <v>11</v>
      </c>
      <c r="N96" s="8"/>
      <c r="O96" s="13">
        <v>82</v>
      </c>
      <c r="P96" s="8"/>
    </row>
    <row r="97" spans="1:16" s="12" customFormat="1" ht="22.9" customHeight="1">
      <c r="A97" s="13">
        <v>90</v>
      </c>
      <c r="B97" s="8" t="s">
        <v>124</v>
      </c>
      <c r="C97" s="14">
        <v>0.747</v>
      </c>
      <c r="D97" s="8"/>
      <c r="E97" s="15">
        <v>79.918199999999999</v>
      </c>
      <c r="F97" s="8"/>
      <c r="G97" s="15">
        <v>12.635609629999999</v>
      </c>
      <c r="H97" s="8"/>
      <c r="I97" s="15">
        <v>7.3220000000000001</v>
      </c>
      <c r="J97" s="8"/>
      <c r="K97" s="13">
        <v>15448.12788</v>
      </c>
      <c r="L97" s="8"/>
      <c r="M97" s="13">
        <v>-14</v>
      </c>
      <c r="N97" s="8"/>
      <c r="O97" s="13">
        <v>97</v>
      </c>
      <c r="P97" s="8"/>
    </row>
    <row r="98" spans="1:16" s="12" customFormat="1" ht="22.9" customHeight="1">
      <c r="A98" s="13">
        <v>91</v>
      </c>
      <c r="B98" s="8" t="s">
        <v>125</v>
      </c>
      <c r="C98" s="14">
        <v>0.745</v>
      </c>
      <c r="D98" s="8"/>
      <c r="E98" s="15">
        <v>76.3767</v>
      </c>
      <c r="F98" s="8"/>
      <c r="G98" s="15">
        <v>14.62689602</v>
      </c>
      <c r="H98" s="16" t="s">
        <v>86</v>
      </c>
      <c r="I98" s="15">
        <v>8.0692843970000006</v>
      </c>
      <c r="J98" s="16" t="s">
        <v>28</v>
      </c>
      <c r="K98" s="13">
        <v>10800.22546</v>
      </c>
      <c r="L98" s="8"/>
      <c r="M98" s="13">
        <v>13</v>
      </c>
      <c r="N98" s="8"/>
      <c r="O98" s="13">
        <v>96</v>
      </c>
      <c r="P98" s="8"/>
    </row>
    <row r="99" spans="1:16" s="12" customFormat="1" ht="22.9" customHeight="1">
      <c r="A99" s="13">
        <v>91</v>
      </c>
      <c r="B99" s="8" t="s">
        <v>126</v>
      </c>
      <c r="C99" s="14">
        <v>0.745</v>
      </c>
      <c r="D99" s="8"/>
      <c r="E99" s="15">
        <v>69.365799999999993</v>
      </c>
      <c r="F99" s="8"/>
      <c r="G99" s="15">
        <v>13.496890069999999</v>
      </c>
      <c r="H99" s="8"/>
      <c r="I99" s="15">
        <v>10.5429697</v>
      </c>
      <c r="J99" s="8"/>
      <c r="K99" s="13">
        <v>14256.744559999999</v>
      </c>
      <c r="L99" s="8"/>
      <c r="M99" s="13">
        <v>-8</v>
      </c>
      <c r="N99" s="8"/>
      <c r="O99" s="13">
        <v>100</v>
      </c>
      <c r="P99" s="8"/>
    </row>
    <row r="100" spans="1:16" s="12" customFormat="1" ht="22.9" customHeight="1">
      <c r="A100" s="13">
        <v>91</v>
      </c>
      <c r="B100" s="8" t="s">
        <v>127</v>
      </c>
      <c r="C100" s="14">
        <v>0.745</v>
      </c>
      <c r="D100" s="8"/>
      <c r="E100" s="15">
        <v>70.985699999999994</v>
      </c>
      <c r="F100" s="8"/>
      <c r="G100" s="15">
        <v>16.04857063</v>
      </c>
      <c r="H100" s="8"/>
      <c r="I100" s="15">
        <v>11.392594000000001</v>
      </c>
      <c r="J100" s="16" t="s">
        <v>101</v>
      </c>
      <c r="K100" s="13">
        <v>6822.03125</v>
      </c>
      <c r="L100" s="8"/>
      <c r="M100" s="13">
        <v>34</v>
      </c>
      <c r="N100" s="8"/>
      <c r="O100" s="13">
        <v>90</v>
      </c>
      <c r="P100" s="8"/>
    </row>
    <row r="101" spans="1:16" s="12" customFormat="1" ht="22.9" customHeight="1">
      <c r="A101" s="13">
        <v>91</v>
      </c>
      <c r="B101" s="8" t="s">
        <v>128</v>
      </c>
      <c r="C101" s="14">
        <v>0.745</v>
      </c>
      <c r="D101" s="8"/>
      <c r="E101" s="15">
        <v>69.264399999999995</v>
      </c>
      <c r="F101" s="8"/>
      <c r="G101" s="15">
        <v>13.21039963</v>
      </c>
      <c r="H101" s="8"/>
      <c r="I101" s="15">
        <v>11.26139</v>
      </c>
      <c r="J101" s="8"/>
      <c r="K101" s="13">
        <v>13020.7155</v>
      </c>
      <c r="L101" s="8"/>
      <c r="M101" s="13">
        <v>-1</v>
      </c>
      <c r="N101" s="8"/>
      <c r="O101" s="13">
        <v>93</v>
      </c>
      <c r="P101" s="8"/>
    </row>
    <row r="102" spans="1:16" s="12" customFormat="1" ht="22.9" customHeight="1">
      <c r="A102" s="13">
        <v>95</v>
      </c>
      <c r="B102" s="8" t="s">
        <v>129</v>
      </c>
      <c r="C102" s="14">
        <v>0.74</v>
      </c>
      <c r="D102" s="8"/>
      <c r="E102" s="15">
        <v>73.67</v>
      </c>
      <c r="F102" s="8"/>
      <c r="G102" s="15">
        <v>14.62423038</v>
      </c>
      <c r="H102" s="8"/>
      <c r="I102" s="15">
        <v>8.8171195979999997</v>
      </c>
      <c r="J102" s="8"/>
      <c r="K102" s="13">
        <v>10311.632729999999</v>
      </c>
      <c r="L102" s="8"/>
      <c r="M102" s="13">
        <v>11</v>
      </c>
      <c r="N102" s="8"/>
      <c r="O102" s="13">
        <v>99</v>
      </c>
      <c r="P102" s="8"/>
    </row>
    <row r="103" spans="1:16" s="12" customFormat="1" ht="22.9" customHeight="1">
      <c r="A103" s="13">
        <v>96</v>
      </c>
      <c r="B103" s="8" t="s">
        <v>130</v>
      </c>
      <c r="C103" s="14">
        <v>0.73899999999999999</v>
      </c>
      <c r="D103" s="8"/>
      <c r="E103" s="15">
        <v>70.975399999999993</v>
      </c>
      <c r="F103" s="8"/>
      <c r="G103" s="15">
        <v>14.980349540000001</v>
      </c>
      <c r="H103" s="8"/>
      <c r="I103" s="15">
        <v>9.4237003329999993</v>
      </c>
      <c r="J103" s="8"/>
      <c r="K103" s="13">
        <v>10588.22532</v>
      </c>
      <c r="L103" s="8"/>
      <c r="M103" s="13">
        <v>9</v>
      </c>
      <c r="N103" s="8"/>
      <c r="O103" s="13">
        <v>90</v>
      </c>
      <c r="P103" s="8"/>
    </row>
    <row r="104" spans="1:16" s="12" customFormat="1" ht="22.9" customHeight="1">
      <c r="A104" s="13">
        <v>97</v>
      </c>
      <c r="B104" s="8" t="s">
        <v>131</v>
      </c>
      <c r="C104" s="14">
        <v>0.73099999999999998</v>
      </c>
      <c r="D104" s="8"/>
      <c r="E104" s="15">
        <v>70.220699999999994</v>
      </c>
      <c r="F104" s="8"/>
      <c r="G104" s="15">
        <v>13.78649972</v>
      </c>
      <c r="H104" s="16" t="s">
        <v>28</v>
      </c>
      <c r="I104" s="15">
        <v>9.5730261740000007</v>
      </c>
      <c r="J104" s="16" t="s">
        <v>28</v>
      </c>
      <c r="K104" s="13">
        <v>11731.690559999999</v>
      </c>
      <c r="L104" s="8"/>
      <c r="M104" s="13">
        <v>4</v>
      </c>
      <c r="N104" s="8"/>
      <c r="O104" s="13">
        <v>97</v>
      </c>
      <c r="P104" s="8"/>
    </row>
    <row r="105" spans="1:16" s="12" customFormat="1" ht="22.9" customHeight="1">
      <c r="A105" s="13">
        <v>97</v>
      </c>
      <c r="B105" s="8" t="s">
        <v>132</v>
      </c>
      <c r="C105" s="14">
        <v>0.73099999999999998</v>
      </c>
      <c r="D105" s="8"/>
      <c r="E105" s="15">
        <v>73.771900000000002</v>
      </c>
      <c r="F105" s="8"/>
      <c r="G105" s="15">
        <v>15.425382239999999</v>
      </c>
      <c r="H105" s="16" t="s">
        <v>28</v>
      </c>
      <c r="I105" s="15">
        <v>7.4315986140000003</v>
      </c>
      <c r="J105" s="16" t="s">
        <v>28</v>
      </c>
      <c r="K105" s="13">
        <v>10257.54477</v>
      </c>
      <c r="L105" s="8"/>
      <c r="M105" s="13">
        <v>10</v>
      </c>
      <c r="N105" s="8"/>
      <c r="O105" s="13">
        <v>94</v>
      </c>
      <c r="P105" s="8"/>
    </row>
    <row r="106" spans="1:16" s="12" customFormat="1" ht="22.9" customHeight="1">
      <c r="A106" s="13">
        <v>99</v>
      </c>
      <c r="B106" s="8" t="s">
        <v>133</v>
      </c>
      <c r="C106" s="14">
        <v>0.73</v>
      </c>
      <c r="D106" s="8"/>
      <c r="E106" s="15">
        <v>67.114000000000004</v>
      </c>
      <c r="F106" s="8"/>
      <c r="G106" s="15">
        <v>14.736789999999999</v>
      </c>
      <c r="H106" s="16" t="s">
        <v>28</v>
      </c>
      <c r="I106" s="15">
        <v>10.921547990000001</v>
      </c>
      <c r="J106" s="16" t="s">
        <v>28</v>
      </c>
      <c r="K106" s="13">
        <v>9980.1108660000009</v>
      </c>
      <c r="L106" s="8"/>
      <c r="M106" s="13">
        <v>9</v>
      </c>
      <c r="N106" s="8"/>
      <c r="O106" s="13">
        <v>94</v>
      </c>
      <c r="P106" s="8"/>
    </row>
    <row r="107" spans="1:16" s="12" customFormat="1" ht="22.9" customHeight="1">
      <c r="A107" s="13">
        <v>99</v>
      </c>
      <c r="B107" s="8" t="s">
        <v>134</v>
      </c>
      <c r="C107" s="14">
        <v>0.73</v>
      </c>
      <c r="D107" s="8"/>
      <c r="E107" s="15">
        <v>70.274299999999997</v>
      </c>
      <c r="F107" s="8"/>
      <c r="G107" s="15">
        <v>13.03564357</v>
      </c>
      <c r="H107" s="16" t="s">
        <v>86</v>
      </c>
      <c r="I107" s="15">
        <v>9.7768006300000003</v>
      </c>
      <c r="J107" s="16" t="s">
        <v>86</v>
      </c>
      <c r="K107" s="13">
        <v>12672.20033</v>
      </c>
      <c r="L107" s="8"/>
      <c r="M107" s="13">
        <v>-6</v>
      </c>
      <c r="N107" s="8"/>
      <c r="O107" s="13">
        <v>92</v>
      </c>
      <c r="P107" s="8"/>
    </row>
    <row r="108" spans="1:16" s="12" customFormat="1" ht="22.9" customHeight="1">
      <c r="A108" s="13">
        <v>101</v>
      </c>
      <c r="B108" s="8" t="s">
        <v>135</v>
      </c>
      <c r="C108" s="14">
        <v>0.72699999999999998</v>
      </c>
      <c r="D108" s="8"/>
      <c r="E108" s="15">
        <v>70.861599999999996</v>
      </c>
      <c r="F108" s="8"/>
      <c r="G108" s="15">
        <v>12.47714043</v>
      </c>
      <c r="H108" s="8"/>
      <c r="I108" s="15">
        <v>11.89558983</v>
      </c>
      <c r="J108" s="8"/>
      <c r="K108" s="13">
        <v>7916.7857249999997</v>
      </c>
      <c r="L108" s="8"/>
      <c r="M108" s="13">
        <v>18</v>
      </c>
      <c r="N108" s="8"/>
      <c r="O108" s="13">
        <v>107</v>
      </c>
      <c r="P108" s="8"/>
    </row>
    <row r="109" spans="1:16" s="12" customFormat="1" ht="22.9" customHeight="1">
      <c r="A109" s="13">
        <v>102</v>
      </c>
      <c r="B109" s="8" t="s">
        <v>136</v>
      </c>
      <c r="C109" s="14">
        <v>0.72</v>
      </c>
      <c r="D109" s="8"/>
      <c r="E109" s="15">
        <v>72.813999999999993</v>
      </c>
      <c r="F109" s="8"/>
      <c r="G109" s="15">
        <v>13.319186200000001</v>
      </c>
      <c r="H109" s="16" t="s">
        <v>28</v>
      </c>
      <c r="I109" s="15">
        <v>8.1421860000000006</v>
      </c>
      <c r="J109" s="16" t="s">
        <v>66</v>
      </c>
      <c r="K109" s="13">
        <v>11487.62422</v>
      </c>
      <c r="L109" s="8"/>
      <c r="M109" s="13">
        <v>0</v>
      </c>
      <c r="N109" s="8"/>
      <c r="O109" s="13">
        <v>106</v>
      </c>
      <c r="P109" s="8"/>
    </row>
    <row r="110" spans="1:16" s="12" customFormat="1" ht="22.9" customHeight="1">
      <c r="A110" s="13">
        <v>102</v>
      </c>
      <c r="B110" s="8" t="s">
        <v>137</v>
      </c>
      <c r="C110" s="14">
        <v>0.72</v>
      </c>
      <c r="D110" s="8"/>
      <c r="E110" s="15">
        <v>74.256299999999996</v>
      </c>
      <c r="F110" s="8"/>
      <c r="G110" s="15">
        <v>10.646559720000001</v>
      </c>
      <c r="H110" s="8"/>
      <c r="I110" s="15">
        <v>10.446680069999999</v>
      </c>
      <c r="J110" s="8"/>
      <c r="K110" s="13">
        <v>9923.7149740000004</v>
      </c>
      <c r="L110" s="8"/>
      <c r="M110" s="13">
        <v>8</v>
      </c>
      <c r="N110" s="8"/>
      <c r="O110" s="13">
        <v>104</v>
      </c>
      <c r="P110" s="8"/>
    </row>
    <row r="111" spans="1:16" s="12" customFormat="1" ht="22.9" customHeight="1">
      <c r="A111" s="13">
        <v>104</v>
      </c>
      <c r="B111" s="8" t="s">
        <v>138</v>
      </c>
      <c r="C111" s="14">
        <v>0.71799999999999997</v>
      </c>
      <c r="D111" s="8"/>
      <c r="E111" s="15">
        <v>71.911199999999994</v>
      </c>
      <c r="F111" s="8"/>
      <c r="G111" s="15">
        <v>12.854279999999999</v>
      </c>
      <c r="H111" s="16" t="s">
        <v>83</v>
      </c>
      <c r="I111" s="15">
        <v>7.5999850000000002</v>
      </c>
      <c r="J111" s="16" t="s">
        <v>139</v>
      </c>
      <c r="K111" s="13">
        <v>15335.712</v>
      </c>
      <c r="L111" s="8"/>
      <c r="M111" s="13">
        <v>-27</v>
      </c>
      <c r="N111" s="8"/>
      <c r="O111" s="13">
        <v>117</v>
      </c>
      <c r="P111" s="8"/>
    </row>
    <row r="112" spans="1:16" s="12" customFormat="1" ht="22.9" customHeight="1">
      <c r="A112" s="13">
        <v>105</v>
      </c>
      <c r="B112" s="8" t="s">
        <v>140</v>
      </c>
      <c r="C112" s="14">
        <v>0.71699999999999997</v>
      </c>
      <c r="D112" s="8"/>
      <c r="E112" s="15">
        <v>70.261700000000005</v>
      </c>
      <c r="F112" s="8"/>
      <c r="G112" s="15">
        <v>12.987991129999999</v>
      </c>
      <c r="H112" s="16" t="s">
        <v>112</v>
      </c>
      <c r="I112" s="15">
        <v>8.861840248</v>
      </c>
      <c r="J112" s="8"/>
      <c r="K112" s="13">
        <v>12349.286</v>
      </c>
      <c r="L112" s="8"/>
      <c r="M112" s="13">
        <v>-10</v>
      </c>
      <c r="N112" s="8"/>
      <c r="O112" s="13">
        <v>100</v>
      </c>
      <c r="P112" s="8"/>
    </row>
    <row r="113" spans="1:16" s="12" customFormat="1" ht="22.9" customHeight="1">
      <c r="A113" s="13">
        <v>106</v>
      </c>
      <c r="B113" s="8" t="s">
        <v>141</v>
      </c>
      <c r="C113" s="14">
        <v>0.71499999999999997</v>
      </c>
      <c r="D113" s="8"/>
      <c r="E113" s="15">
        <v>73.472700000000003</v>
      </c>
      <c r="F113" s="8"/>
      <c r="G113" s="15">
        <v>13.358010289999999</v>
      </c>
      <c r="H113" s="8"/>
      <c r="I113" s="15">
        <v>9.9384803769999994</v>
      </c>
      <c r="J113" s="8"/>
      <c r="K113" s="13">
        <v>6582.8994160000002</v>
      </c>
      <c r="L113" s="8"/>
      <c r="M113" s="13">
        <v>21</v>
      </c>
      <c r="N113" s="8"/>
      <c r="O113" s="13">
        <v>109</v>
      </c>
      <c r="P113" s="8"/>
    </row>
    <row r="114" spans="1:16" s="12" customFormat="1" ht="22.9" customHeight="1">
      <c r="A114" s="13">
        <v>106</v>
      </c>
      <c r="B114" s="8" t="s">
        <v>142</v>
      </c>
      <c r="C114" s="14">
        <v>0.71499999999999997</v>
      </c>
      <c r="D114" s="8"/>
      <c r="E114" s="15">
        <v>71.111400000000003</v>
      </c>
      <c r="F114" s="8"/>
      <c r="G114" s="15">
        <v>12.866109850000001</v>
      </c>
      <c r="H114" s="8"/>
      <c r="I114" s="15">
        <v>8.5450401310000004</v>
      </c>
      <c r="J114" s="8"/>
      <c r="K114" s="13">
        <v>12048.303809999999</v>
      </c>
      <c r="L114" s="8"/>
      <c r="M114" s="13">
        <v>-7</v>
      </c>
      <c r="N114" s="8"/>
      <c r="O114" s="13">
        <v>104</v>
      </c>
      <c r="P114" s="8"/>
    </row>
    <row r="115" spans="1:16" s="12" customFormat="1" ht="22.9" customHeight="1">
      <c r="A115" s="13">
        <v>108</v>
      </c>
      <c r="B115" s="8" t="s">
        <v>143</v>
      </c>
      <c r="C115" s="14">
        <v>0.71399999999999997</v>
      </c>
      <c r="D115" s="8"/>
      <c r="E115" s="15">
        <v>65.673400000000001</v>
      </c>
      <c r="F115" s="8"/>
      <c r="G115" s="15">
        <v>12.502722159999999</v>
      </c>
      <c r="H115" s="16" t="s">
        <v>28</v>
      </c>
      <c r="I115" s="15">
        <v>8.6174769999999992</v>
      </c>
      <c r="J115" s="8"/>
      <c r="K115" s="13">
        <v>22464.657340000002</v>
      </c>
      <c r="L115" s="8"/>
      <c r="M115" s="13">
        <v>-47</v>
      </c>
      <c r="N115" s="8"/>
      <c r="O115" s="13">
        <v>107</v>
      </c>
      <c r="P115" s="8"/>
    </row>
    <row r="116" spans="1:16" s="12" customFormat="1" ht="22.9" customHeight="1">
      <c r="A116" s="13">
        <v>109</v>
      </c>
      <c r="B116" s="8" t="s">
        <v>144</v>
      </c>
      <c r="C116" s="14">
        <v>0.71299999999999997</v>
      </c>
      <c r="D116" s="8"/>
      <c r="E116" s="15">
        <v>62.341000000000001</v>
      </c>
      <c r="F116" s="8"/>
      <c r="G116" s="15">
        <v>13.64371014</v>
      </c>
      <c r="H116" s="8"/>
      <c r="I116" s="15">
        <v>11.37316036</v>
      </c>
      <c r="J116" s="8"/>
      <c r="K116" s="13">
        <v>12948.373250000001</v>
      </c>
      <c r="L116" s="8"/>
      <c r="M116" s="13">
        <v>-17</v>
      </c>
      <c r="N116" s="8"/>
      <c r="O116" s="13">
        <v>102</v>
      </c>
      <c r="P116" s="8"/>
    </row>
    <row r="117" spans="1:16" s="12" customFormat="1" ht="22.9" customHeight="1">
      <c r="A117" s="13">
        <v>110</v>
      </c>
      <c r="B117" s="8" t="s">
        <v>145</v>
      </c>
      <c r="C117" s="14">
        <v>0.70899999999999996</v>
      </c>
      <c r="D117" s="8"/>
      <c r="E117" s="15">
        <v>70.500299999999996</v>
      </c>
      <c r="F117" s="8"/>
      <c r="G117" s="15">
        <v>13.40492042</v>
      </c>
      <c r="H117" s="16" t="s">
        <v>86</v>
      </c>
      <c r="I117" s="15">
        <v>9.1546286610000003</v>
      </c>
      <c r="J117" s="16" t="s">
        <v>28</v>
      </c>
      <c r="K117" s="13">
        <v>8834.4756699999998</v>
      </c>
      <c r="L117" s="8"/>
      <c r="M117" s="13">
        <v>4</v>
      </c>
      <c r="N117" s="8"/>
      <c r="O117" s="13">
        <v>110</v>
      </c>
      <c r="P117" s="8"/>
    </row>
    <row r="118" spans="1:16" s="12" customFormat="1" ht="22.9" customHeight="1">
      <c r="A118" s="13">
        <v>111</v>
      </c>
      <c r="B118" s="8" t="s">
        <v>146</v>
      </c>
      <c r="C118" s="14">
        <v>0.70699999999999996</v>
      </c>
      <c r="D118" s="8"/>
      <c r="E118" s="15">
        <v>72.767499999999998</v>
      </c>
      <c r="F118" s="8"/>
      <c r="G118" s="15">
        <v>12.41885948</v>
      </c>
      <c r="H118" s="8"/>
      <c r="I118" s="15">
        <v>11.4038</v>
      </c>
      <c r="J118" s="8"/>
      <c r="K118" s="13">
        <v>5307.9533739999997</v>
      </c>
      <c r="L118" s="8"/>
      <c r="M118" s="13">
        <v>24</v>
      </c>
      <c r="N118" s="8"/>
      <c r="O118" s="13">
        <v>112</v>
      </c>
      <c r="P118" s="8"/>
    </row>
    <row r="119" spans="1:16" s="12" customFormat="1" ht="22.9" customHeight="1">
      <c r="A119" s="13">
        <v>112</v>
      </c>
      <c r="B119" s="8" t="s">
        <v>147</v>
      </c>
      <c r="C119" s="14">
        <v>0.70599999999999996</v>
      </c>
      <c r="D119" s="8"/>
      <c r="E119" s="15">
        <v>65.820999999999998</v>
      </c>
      <c r="F119" s="8"/>
      <c r="G119" s="15">
        <v>12.977309999999999</v>
      </c>
      <c r="H119" s="16" t="s">
        <v>83</v>
      </c>
      <c r="I119" s="15">
        <v>9.4359999999999999</v>
      </c>
      <c r="J119" s="8"/>
      <c r="K119" s="13">
        <v>13366.93455</v>
      </c>
      <c r="L119" s="8"/>
      <c r="M119" s="13">
        <v>-25</v>
      </c>
      <c r="N119" s="8"/>
      <c r="O119" s="13">
        <v>113</v>
      </c>
      <c r="P119" s="8"/>
    </row>
    <row r="120" spans="1:16" s="12" customFormat="1" ht="22.9" customHeight="1">
      <c r="A120" s="13">
        <v>112</v>
      </c>
      <c r="B120" s="8" t="s">
        <v>148</v>
      </c>
      <c r="C120" s="14">
        <v>0.70599999999999996</v>
      </c>
      <c r="D120" s="8"/>
      <c r="E120" s="15">
        <v>75.047200000000004</v>
      </c>
      <c r="F120" s="8"/>
      <c r="G120" s="15">
        <v>11.285869999999999</v>
      </c>
      <c r="H120" s="16" t="s">
        <v>115</v>
      </c>
      <c r="I120" s="15">
        <v>8.7186360000000001</v>
      </c>
      <c r="J120" s="16" t="s">
        <v>83</v>
      </c>
      <c r="K120" s="13">
        <v>9525.831467</v>
      </c>
      <c r="L120" s="8"/>
      <c r="M120" s="13">
        <v>-1</v>
      </c>
      <c r="N120" s="8"/>
      <c r="O120" s="13">
        <v>103</v>
      </c>
      <c r="P120" s="8"/>
    </row>
    <row r="121" spans="1:16" s="12" customFormat="1" ht="22.9" customHeight="1">
      <c r="A121" s="13">
        <v>114</v>
      </c>
      <c r="B121" s="8" t="s">
        <v>149</v>
      </c>
      <c r="C121" s="14">
        <v>0.70499999999999996</v>
      </c>
      <c r="D121" s="8"/>
      <c r="E121" s="15">
        <v>67.570300000000003</v>
      </c>
      <c r="F121" s="8"/>
      <c r="G121" s="15">
        <v>13.748893860000001</v>
      </c>
      <c r="H121" s="16" t="s">
        <v>28</v>
      </c>
      <c r="I121" s="15">
        <v>8.5565099720000006</v>
      </c>
      <c r="J121" s="8"/>
      <c r="K121" s="13">
        <v>11466.068359999999</v>
      </c>
      <c r="L121" s="8"/>
      <c r="M121" s="13">
        <v>-11</v>
      </c>
      <c r="N121" s="8"/>
      <c r="O121" s="13">
        <v>116</v>
      </c>
      <c r="P121" s="8"/>
    </row>
    <row r="122" spans="1:16" s="12" customFormat="1" ht="22.9" customHeight="1">
      <c r="A122" s="13">
        <v>115</v>
      </c>
      <c r="B122" s="8" t="s">
        <v>150</v>
      </c>
      <c r="C122" s="14">
        <v>0.70299999999999996</v>
      </c>
      <c r="D122" s="8"/>
      <c r="E122" s="15">
        <v>73.618099999999998</v>
      </c>
      <c r="F122" s="8"/>
      <c r="G122" s="15">
        <v>12.9519325</v>
      </c>
      <c r="H122" s="16" t="s">
        <v>151</v>
      </c>
      <c r="I122" s="15">
        <v>8.370280266</v>
      </c>
      <c r="J122" s="8"/>
      <c r="K122" s="13">
        <v>7867.3713449999996</v>
      </c>
      <c r="L122" s="8"/>
      <c r="M122" s="13">
        <v>6</v>
      </c>
      <c r="N122" s="8"/>
      <c r="O122" s="13">
        <v>113</v>
      </c>
      <c r="P122" s="8"/>
    </row>
    <row r="123" spans="1:16" s="12" customFormat="1" ht="22.9" customHeight="1">
      <c r="A123" s="8"/>
      <c r="B123" s="32" t="s">
        <v>152</v>
      </c>
      <c r="C123" s="32"/>
      <c r="D123" s="32"/>
      <c r="E123" s="32"/>
      <c r="F123" s="32"/>
      <c r="G123" s="32"/>
      <c r="H123" s="32"/>
      <c r="I123" s="32"/>
      <c r="J123" s="32"/>
      <c r="K123" s="32"/>
      <c r="L123" s="32"/>
      <c r="M123" s="32"/>
      <c r="N123" s="32"/>
      <c r="O123" s="32"/>
      <c r="P123" s="8"/>
    </row>
    <row r="124" spans="1:16" s="12" customFormat="1" ht="22.9" customHeight="1">
      <c r="A124" s="13">
        <v>116</v>
      </c>
      <c r="B124" s="8" t="s">
        <v>153</v>
      </c>
      <c r="C124" s="14">
        <v>0.69899999999999995</v>
      </c>
      <c r="D124" s="8"/>
      <c r="E124" s="15">
        <v>69.266400000000004</v>
      </c>
      <c r="F124" s="8"/>
      <c r="G124" s="15">
        <v>13.12656975</v>
      </c>
      <c r="H124" s="8"/>
      <c r="I124" s="15">
        <v>8.9690999980000008</v>
      </c>
      <c r="J124" s="8"/>
      <c r="K124" s="13">
        <v>8920.4284680000001</v>
      </c>
      <c r="L124" s="8"/>
      <c r="M124" s="13">
        <v>-3</v>
      </c>
      <c r="N124" s="8"/>
      <c r="O124" s="13">
        <v>113</v>
      </c>
      <c r="P124" s="8"/>
    </row>
    <row r="125" spans="1:16" s="12" customFormat="1" ht="22.9" customHeight="1">
      <c r="A125" s="13">
        <v>117</v>
      </c>
      <c r="B125" s="8" t="s">
        <v>154</v>
      </c>
      <c r="C125" s="14">
        <v>0.69299999999999995</v>
      </c>
      <c r="D125" s="8"/>
      <c r="E125" s="15">
        <v>61.140900000000002</v>
      </c>
      <c r="F125" s="8"/>
      <c r="G125" s="15">
        <v>12.26513765</v>
      </c>
      <c r="H125" s="16" t="s">
        <v>28</v>
      </c>
      <c r="I125" s="15">
        <v>10.34</v>
      </c>
      <c r="J125" s="8"/>
      <c r="K125" s="13">
        <v>16198.31841</v>
      </c>
      <c r="L125" s="8"/>
      <c r="M125" s="13">
        <v>-43</v>
      </c>
      <c r="N125" s="8"/>
      <c r="O125" s="13">
        <v>110</v>
      </c>
      <c r="P125" s="8"/>
    </row>
    <row r="126" spans="1:16" s="12" customFormat="1" ht="22.9" customHeight="1">
      <c r="A126" s="13">
        <v>118</v>
      </c>
      <c r="B126" s="8" t="s">
        <v>155</v>
      </c>
      <c r="C126" s="14">
        <v>0.69199999999999995</v>
      </c>
      <c r="D126" s="8"/>
      <c r="E126" s="15">
        <v>63.630400000000002</v>
      </c>
      <c r="F126" s="8"/>
      <c r="G126" s="15">
        <v>14.94697094</v>
      </c>
      <c r="H126" s="8"/>
      <c r="I126" s="15">
        <v>9.8277502059999993</v>
      </c>
      <c r="J126" s="8"/>
      <c r="K126" s="13">
        <v>8111.1901939999998</v>
      </c>
      <c r="L126" s="8"/>
      <c r="M126" s="13">
        <v>0</v>
      </c>
      <c r="N126" s="8"/>
      <c r="O126" s="13">
        <v>119</v>
      </c>
      <c r="P126" s="8"/>
    </row>
    <row r="127" spans="1:16" s="12" customFormat="1" ht="22.9" customHeight="1">
      <c r="A127" s="13">
        <v>118</v>
      </c>
      <c r="B127" s="8" t="s">
        <v>156</v>
      </c>
      <c r="C127" s="14">
        <v>0.69199999999999995</v>
      </c>
      <c r="D127" s="8"/>
      <c r="E127" s="15">
        <v>69.977400000000003</v>
      </c>
      <c r="F127" s="8"/>
      <c r="G127" s="15">
        <v>13.195300100000001</v>
      </c>
      <c r="H127" s="8"/>
      <c r="I127" s="15">
        <v>11.37410556</v>
      </c>
      <c r="J127" s="16" t="s">
        <v>101</v>
      </c>
      <c r="K127" s="13">
        <v>4566.3038310000002</v>
      </c>
      <c r="L127" s="8"/>
      <c r="M127" s="13">
        <v>26</v>
      </c>
      <c r="N127" s="8"/>
      <c r="O127" s="13">
        <v>121</v>
      </c>
      <c r="P127" s="8"/>
    </row>
    <row r="128" spans="1:16" s="12" customFormat="1" ht="22.9" customHeight="1">
      <c r="A128" s="13">
        <v>120</v>
      </c>
      <c r="B128" s="8" t="s">
        <v>157</v>
      </c>
      <c r="C128" s="14">
        <v>0.69099999999999995</v>
      </c>
      <c r="D128" s="8"/>
      <c r="E128" s="15">
        <v>70.553600000000003</v>
      </c>
      <c r="F128" s="8"/>
      <c r="G128" s="15">
        <v>12.816079999999999</v>
      </c>
      <c r="H128" s="16" t="s">
        <v>115</v>
      </c>
      <c r="I128" s="15">
        <v>11.107277359999999</v>
      </c>
      <c r="J128" s="16" t="s">
        <v>28</v>
      </c>
      <c r="K128" s="13">
        <v>4810.8826209999997</v>
      </c>
      <c r="L128" s="16" t="s">
        <v>158</v>
      </c>
      <c r="M128" s="13">
        <v>20</v>
      </c>
      <c r="N128" s="8"/>
      <c r="O128" s="13">
        <v>118</v>
      </c>
      <c r="P128" s="8"/>
    </row>
    <row r="129" spans="1:16" s="12" customFormat="1" ht="22.9" customHeight="1">
      <c r="A129" s="13">
        <v>121</v>
      </c>
      <c r="B129" s="8" t="s">
        <v>159</v>
      </c>
      <c r="C129" s="14">
        <v>0.68600000000000005</v>
      </c>
      <c r="D129" s="8"/>
      <c r="E129" s="15">
        <v>70.377899999999997</v>
      </c>
      <c r="F129" s="8"/>
      <c r="G129" s="15">
        <v>12.087473170000001</v>
      </c>
      <c r="H129" s="16" t="s">
        <v>151</v>
      </c>
      <c r="I129" s="15">
        <v>7.9055934890000001</v>
      </c>
      <c r="J129" s="16" t="s">
        <v>86</v>
      </c>
      <c r="K129" s="13">
        <v>9977.2490730000009</v>
      </c>
      <c r="L129" s="8"/>
      <c r="M129" s="13">
        <v>-12</v>
      </c>
      <c r="N129" s="8"/>
      <c r="O129" s="13">
        <v>122</v>
      </c>
      <c r="P129" s="8"/>
    </row>
    <row r="130" spans="1:16" s="12" customFormat="1" ht="22.9" customHeight="1">
      <c r="A130" s="13">
        <v>122</v>
      </c>
      <c r="B130" s="8" t="s">
        <v>160</v>
      </c>
      <c r="C130" s="14">
        <v>0.68500000000000005</v>
      </c>
      <c r="D130" s="8"/>
      <c r="E130" s="15">
        <v>71.594200000000001</v>
      </c>
      <c r="F130" s="8"/>
      <c r="G130" s="15">
        <v>11.653036180000001</v>
      </c>
      <c r="H130" s="16" t="s">
        <v>28</v>
      </c>
      <c r="I130" s="15">
        <v>11.3333938</v>
      </c>
      <c r="J130" s="16" t="s">
        <v>101</v>
      </c>
      <c r="K130" s="13">
        <v>4547.7424270000001</v>
      </c>
      <c r="L130" s="8"/>
      <c r="M130" s="13">
        <v>23</v>
      </c>
      <c r="N130" s="8"/>
      <c r="O130" s="13">
        <v>126</v>
      </c>
      <c r="P130" s="8"/>
    </row>
    <row r="131" spans="1:16" s="12" customFormat="1" ht="22.9" customHeight="1">
      <c r="A131" s="13">
        <v>123</v>
      </c>
      <c r="B131" s="8" t="s">
        <v>161</v>
      </c>
      <c r="C131" s="14">
        <v>0.68300000000000005</v>
      </c>
      <c r="D131" s="8"/>
      <c r="E131" s="15">
        <v>70.469700000000003</v>
      </c>
      <c r="F131" s="8"/>
      <c r="G131" s="15">
        <v>12.99168968</v>
      </c>
      <c r="H131" s="8"/>
      <c r="I131" s="15">
        <v>8.8475999830000003</v>
      </c>
      <c r="J131" s="8"/>
      <c r="K131" s="13">
        <v>6309.0997779999998</v>
      </c>
      <c r="L131" s="8"/>
      <c r="M131" s="13">
        <v>6</v>
      </c>
      <c r="N131" s="8"/>
      <c r="O131" s="13">
        <v>120</v>
      </c>
      <c r="P131" s="8"/>
    </row>
    <row r="132" spans="1:16" s="12" customFormat="1" ht="22.9" customHeight="1">
      <c r="A132" s="13">
        <v>123</v>
      </c>
      <c r="B132" s="8" t="s">
        <v>162</v>
      </c>
      <c r="C132" s="14">
        <v>0.68300000000000005</v>
      </c>
      <c r="D132" s="8"/>
      <c r="E132" s="15">
        <v>74.041899999999998</v>
      </c>
      <c r="F132" s="8"/>
      <c r="G132" s="15">
        <v>14.151909829999999</v>
      </c>
      <c r="H132" s="8"/>
      <c r="I132" s="15">
        <v>5.9160000000000004</v>
      </c>
      <c r="J132" s="8"/>
      <c r="K132" s="13">
        <v>7302.8191699999998</v>
      </c>
      <c r="L132" s="8"/>
      <c r="M132" s="13">
        <v>1</v>
      </c>
      <c r="N132" s="8"/>
      <c r="O132" s="13">
        <v>122</v>
      </c>
      <c r="P132" s="8"/>
    </row>
    <row r="133" spans="1:16" s="12" customFormat="1" ht="22.9" customHeight="1">
      <c r="A133" s="13">
        <v>125</v>
      </c>
      <c r="B133" s="8" t="s">
        <v>163</v>
      </c>
      <c r="C133" s="14">
        <v>0.67500000000000004</v>
      </c>
      <c r="D133" s="8"/>
      <c r="E133" s="15">
        <v>70.747900000000001</v>
      </c>
      <c r="F133" s="8"/>
      <c r="G133" s="15">
        <v>12.671347669999999</v>
      </c>
      <c r="H133" s="16" t="s">
        <v>112</v>
      </c>
      <c r="I133" s="15">
        <v>7.150929928</v>
      </c>
      <c r="J133" s="8"/>
      <c r="K133" s="13">
        <v>8295.6658889999999</v>
      </c>
      <c r="L133" s="8"/>
      <c r="M133" s="13">
        <v>-8</v>
      </c>
      <c r="N133" s="8"/>
      <c r="O133" s="13">
        <v>124</v>
      </c>
      <c r="P133" s="8"/>
    </row>
    <row r="134" spans="1:16" s="12" customFormat="1" ht="22.9" customHeight="1">
      <c r="A134" s="13">
        <v>126</v>
      </c>
      <c r="B134" s="8" t="s">
        <v>164</v>
      </c>
      <c r="C134" s="14">
        <v>0.66700000000000004</v>
      </c>
      <c r="D134" s="8"/>
      <c r="E134" s="15">
        <v>73.836799999999997</v>
      </c>
      <c r="F134" s="8"/>
      <c r="G134" s="15">
        <v>12.64135783</v>
      </c>
      <c r="H134" s="16" t="s">
        <v>112</v>
      </c>
      <c r="I134" s="15">
        <v>7.1440000000000001</v>
      </c>
      <c r="J134" s="8"/>
      <c r="K134" s="13">
        <v>5624.7935950000001</v>
      </c>
      <c r="L134" s="8"/>
      <c r="M134" s="13">
        <v>6</v>
      </c>
      <c r="N134" s="8"/>
      <c r="O134" s="13">
        <v>129</v>
      </c>
      <c r="P134" s="8"/>
    </row>
    <row r="135" spans="1:16" s="12" customFormat="1" ht="22.9" customHeight="1">
      <c r="A135" s="13">
        <v>127</v>
      </c>
      <c r="B135" s="8" t="s">
        <v>165</v>
      </c>
      <c r="C135" s="14">
        <v>0.66600000000000004</v>
      </c>
      <c r="D135" s="8"/>
      <c r="E135" s="15">
        <v>71.814999999999998</v>
      </c>
      <c r="F135" s="8"/>
      <c r="G135" s="15">
        <v>13.225004780000001</v>
      </c>
      <c r="H135" s="16" t="s">
        <v>28</v>
      </c>
      <c r="I135" s="15">
        <v>5.1702622829999996</v>
      </c>
      <c r="J135" s="16" t="s">
        <v>28</v>
      </c>
      <c r="K135" s="13">
        <v>9437.5415119999998</v>
      </c>
      <c r="L135" s="8"/>
      <c r="M135" s="13">
        <v>-15</v>
      </c>
      <c r="N135" s="8"/>
      <c r="O135" s="13">
        <v>125</v>
      </c>
      <c r="P135" s="8"/>
    </row>
    <row r="136" spans="1:16" s="12" customFormat="1" ht="22.9" customHeight="1">
      <c r="A136" s="13">
        <v>128</v>
      </c>
      <c r="B136" s="8" t="s">
        <v>166</v>
      </c>
      <c r="C136" s="14">
        <v>0.66200000000000003</v>
      </c>
      <c r="D136" s="8"/>
      <c r="E136" s="15">
        <v>74.0518</v>
      </c>
      <c r="F136" s="8"/>
      <c r="G136" s="15">
        <v>12.55461444</v>
      </c>
      <c r="H136" s="16" t="s">
        <v>28</v>
      </c>
      <c r="I136" s="15">
        <v>6.2877192869999998</v>
      </c>
      <c r="J136" s="16" t="s">
        <v>115</v>
      </c>
      <c r="K136" s="13">
        <v>6230.2001989999999</v>
      </c>
      <c r="L136" s="8"/>
      <c r="M136" s="13">
        <v>2</v>
      </c>
      <c r="N136" s="8"/>
      <c r="O136" s="13">
        <v>127</v>
      </c>
      <c r="P136" s="8"/>
    </row>
    <row r="137" spans="1:16" s="12" customFormat="1" ht="22.9" customHeight="1">
      <c r="A137" s="13">
        <v>129</v>
      </c>
      <c r="B137" s="8" t="s">
        <v>167</v>
      </c>
      <c r="C137" s="14">
        <v>0.66100000000000003</v>
      </c>
      <c r="D137" s="8"/>
      <c r="E137" s="15">
        <v>72.381100000000004</v>
      </c>
      <c r="F137" s="8"/>
      <c r="G137" s="15">
        <v>12.441980360000001</v>
      </c>
      <c r="H137" s="8"/>
      <c r="I137" s="15">
        <v>7.3790597919999996</v>
      </c>
      <c r="J137" s="8"/>
      <c r="K137" s="13">
        <v>5472.104781</v>
      </c>
      <c r="L137" s="8"/>
      <c r="M137" s="13">
        <v>4</v>
      </c>
      <c r="N137" s="8"/>
      <c r="O137" s="13">
        <v>128</v>
      </c>
      <c r="P137" s="8"/>
    </row>
    <row r="138" spans="1:16" s="12" customFormat="1" ht="22.9" customHeight="1">
      <c r="A138" s="13">
        <v>130</v>
      </c>
      <c r="B138" s="8" t="s">
        <v>168</v>
      </c>
      <c r="C138" s="14">
        <v>0.64100000000000001</v>
      </c>
      <c r="D138" s="8"/>
      <c r="E138" s="15">
        <v>64.546599999999998</v>
      </c>
      <c r="F138" s="8"/>
      <c r="G138" s="15">
        <v>9.4044299999999996</v>
      </c>
      <c r="H138" s="16" t="s">
        <v>28</v>
      </c>
      <c r="I138" s="15">
        <v>10.573107719999999</v>
      </c>
      <c r="J138" s="8"/>
      <c r="K138" s="13">
        <v>6351.4358990000001</v>
      </c>
      <c r="L138" s="8"/>
      <c r="M138" s="13">
        <v>-2</v>
      </c>
      <c r="N138" s="8"/>
      <c r="O138" s="13">
        <v>131</v>
      </c>
      <c r="P138" s="8"/>
    </row>
    <row r="139" spans="1:16" s="12" customFormat="1" ht="22.9" customHeight="1">
      <c r="A139" s="13">
        <v>131</v>
      </c>
      <c r="B139" s="8" t="s">
        <v>169</v>
      </c>
      <c r="C139" s="14">
        <v>0.63900000000000001</v>
      </c>
      <c r="D139" s="8"/>
      <c r="E139" s="15">
        <v>65.268799999999999</v>
      </c>
      <c r="F139" s="8"/>
      <c r="G139" s="15">
        <v>10.239319800000001</v>
      </c>
      <c r="H139" s="8"/>
      <c r="I139" s="15">
        <v>10.883139610000001</v>
      </c>
      <c r="J139" s="8"/>
      <c r="K139" s="13">
        <v>4619.5353930000001</v>
      </c>
      <c r="L139" s="8"/>
      <c r="M139" s="13">
        <v>12</v>
      </c>
      <c r="N139" s="8"/>
      <c r="O139" s="13">
        <v>131</v>
      </c>
      <c r="P139" s="8"/>
    </row>
    <row r="140" spans="1:16" s="12" customFormat="1" ht="22.9" customHeight="1">
      <c r="A140" s="13">
        <v>132</v>
      </c>
      <c r="B140" s="8" t="s">
        <v>170</v>
      </c>
      <c r="C140" s="14">
        <v>0.63300000000000001</v>
      </c>
      <c r="D140" s="8"/>
      <c r="E140" s="15">
        <v>67.239800000000002</v>
      </c>
      <c r="F140" s="8"/>
      <c r="G140" s="15">
        <v>11.874620439999999</v>
      </c>
      <c r="H140" s="8"/>
      <c r="I140" s="15">
        <v>6.6551091949999996</v>
      </c>
      <c r="J140" s="16" t="s">
        <v>101</v>
      </c>
      <c r="K140" s="13">
        <v>6589.9800370000003</v>
      </c>
      <c r="L140" s="8"/>
      <c r="M140" s="13">
        <v>-6</v>
      </c>
      <c r="N140" s="8"/>
      <c r="O140" s="13">
        <v>130</v>
      </c>
      <c r="P140" s="8"/>
    </row>
    <row r="141" spans="1:16" s="12" customFormat="1" ht="22.9" customHeight="1">
      <c r="A141" s="13">
        <v>133</v>
      </c>
      <c r="B141" s="8" t="s">
        <v>171</v>
      </c>
      <c r="C141" s="14">
        <v>0.63200000000000001</v>
      </c>
      <c r="D141" s="8"/>
      <c r="E141" s="15">
        <v>63.795400000000001</v>
      </c>
      <c r="F141" s="8"/>
      <c r="G141" s="15">
        <v>12.047780039999999</v>
      </c>
      <c r="H141" s="8"/>
      <c r="I141" s="15">
        <v>8.3298866950000008</v>
      </c>
      <c r="J141" s="16" t="s">
        <v>101</v>
      </c>
      <c r="K141" s="13">
        <v>5744.5040170000002</v>
      </c>
      <c r="L141" s="8"/>
      <c r="M141" s="13">
        <v>-2</v>
      </c>
      <c r="N141" s="8"/>
      <c r="O141" s="13">
        <v>135</v>
      </c>
      <c r="P141" s="8"/>
    </row>
    <row r="142" spans="1:16" s="12" customFormat="1" ht="22.9" customHeight="1">
      <c r="A142" s="13">
        <v>134</v>
      </c>
      <c r="B142" s="8" t="s">
        <v>172</v>
      </c>
      <c r="C142" s="14">
        <v>0.628</v>
      </c>
      <c r="D142" s="8"/>
      <c r="E142" s="15">
        <v>70.709999999999994</v>
      </c>
      <c r="F142" s="8"/>
      <c r="G142" s="15">
        <v>11.54947988</v>
      </c>
      <c r="H142" s="16" t="s">
        <v>66</v>
      </c>
      <c r="I142" s="15">
        <v>7.8049559999999998</v>
      </c>
      <c r="J142" s="16" t="s">
        <v>83</v>
      </c>
      <c r="K142" s="13">
        <v>3696.173945</v>
      </c>
      <c r="L142" s="8"/>
      <c r="M142" s="13">
        <v>22</v>
      </c>
      <c r="N142" s="8"/>
      <c r="O142" s="13">
        <v>136</v>
      </c>
      <c r="P142" s="8"/>
    </row>
    <row r="143" spans="1:16" s="12" customFormat="1" ht="22.9" customHeight="1">
      <c r="A143" s="13">
        <v>135</v>
      </c>
      <c r="B143" s="8" t="s">
        <v>173</v>
      </c>
      <c r="C143" s="14">
        <v>0.627</v>
      </c>
      <c r="D143" s="8"/>
      <c r="E143" s="15">
        <v>69.236800000000002</v>
      </c>
      <c r="F143" s="8"/>
      <c r="G143" s="15">
        <v>10.56245041</v>
      </c>
      <c r="H143" s="8"/>
      <c r="I143" s="15">
        <v>5.6813001630000004</v>
      </c>
      <c r="J143" s="8"/>
      <c r="K143" s="13">
        <v>8723.2853169999998</v>
      </c>
      <c r="L143" s="8"/>
      <c r="M143" s="13">
        <v>-20</v>
      </c>
      <c r="N143" s="8"/>
      <c r="O143" s="13">
        <v>133</v>
      </c>
      <c r="P143" s="8"/>
    </row>
    <row r="144" spans="1:16" s="12" customFormat="1" ht="22.9" customHeight="1">
      <c r="A144" s="13">
        <v>136</v>
      </c>
      <c r="B144" s="8" t="s">
        <v>174</v>
      </c>
      <c r="C144" s="14">
        <v>0.624</v>
      </c>
      <c r="D144" s="8"/>
      <c r="E144" s="15">
        <v>67.417199999999994</v>
      </c>
      <c r="F144" s="8"/>
      <c r="G144" s="15">
        <v>11.801993</v>
      </c>
      <c r="H144" s="8"/>
      <c r="I144" s="15">
        <v>7.9844618220000001</v>
      </c>
      <c r="J144" s="16" t="s">
        <v>151</v>
      </c>
      <c r="K144" s="13">
        <v>4062.5860339999999</v>
      </c>
      <c r="L144" s="8"/>
      <c r="M144" s="13">
        <v>14</v>
      </c>
      <c r="N144" s="8"/>
      <c r="O144" s="13">
        <v>137</v>
      </c>
      <c r="P144" s="8"/>
    </row>
    <row r="145" spans="1:16" s="12" customFormat="1" ht="22.9" customHeight="1">
      <c r="A145" s="13">
        <v>137</v>
      </c>
      <c r="B145" s="8" t="s">
        <v>175</v>
      </c>
      <c r="C145" s="14">
        <v>0.621</v>
      </c>
      <c r="D145" s="8"/>
      <c r="E145" s="15">
        <v>70.122900000000001</v>
      </c>
      <c r="F145" s="8"/>
      <c r="G145" s="15">
        <v>10.13281417</v>
      </c>
      <c r="H145" s="16" t="s">
        <v>112</v>
      </c>
      <c r="I145" s="15">
        <v>7.0884799960000002</v>
      </c>
      <c r="J145" s="8"/>
      <c r="K145" s="13">
        <v>5297.955301</v>
      </c>
      <c r="L145" s="8"/>
      <c r="M145" s="13">
        <v>-1</v>
      </c>
      <c r="N145" s="8"/>
      <c r="O145" s="13">
        <v>138</v>
      </c>
      <c r="P145" s="8"/>
    </row>
    <row r="146" spans="1:16" s="12" customFormat="1" ht="22.9" customHeight="1">
      <c r="A146" s="13">
        <v>138</v>
      </c>
      <c r="B146" s="8" t="s">
        <v>176</v>
      </c>
      <c r="C146" s="14">
        <v>0.61799999999999999</v>
      </c>
      <c r="D146" s="8"/>
      <c r="E146" s="15">
        <v>67.591200000000001</v>
      </c>
      <c r="F146" s="8"/>
      <c r="G146" s="15">
        <v>13.365385059999999</v>
      </c>
      <c r="H146" s="8"/>
      <c r="I146" s="15">
        <v>6.2155994349999997</v>
      </c>
      <c r="J146" s="16" t="s">
        <v>86</v>
      </c>
      <c r="K146" s="13">
        <v>4021.3508149999998</v>
      </c>
      <c r="L146" s="8"/>
      <c r="M146" s="13">
        <v>13</v>
      </c>
      <c r="N146" s="8"/>
      <c r="O146" s="13">
        <v>139</v>
      </c>
      <c r="P146" s="8"/>
    </row>
    <row r="147" spans="1:16" s="12" customFormat="1" ht="22.9" customHeight="1">
      <c r="A147" s="13">
        <v>139</v>
      </c>
      <c r="B147" s="8" t="s">
        <v>177</v>
      </c>
      <c r="C147" s="14">
        <v>0.61499999999999999</v>
      </c>
      <c r="D147" s="8"/>
      <c r="E147" s="15">
        <v>59.268999999999998</v>
      </c>
      <c r="F147" s="8"/>
      <c r="G147" s="15">
        <v>11.92720692</v>
      </c>
      <c r="H147" s="16" t="s">
        <v>178</v>
      </c>
      <c r="I147" s="15">
        <v>7.192013277</v>
      </c>
      <c r="J147" s="16" t="s">
        <v>101</v>
      </c>
      <c r="K147" s="13">
        <v>8633.5044519999992</v>
      </c>
      <c r="L147" s="8"/>
      <c r="M147" s="13">
        <v>-23</v>
      </c>
      <c r="N147" s="8"/>
      <c r="O147" s="13">
        <v>134</v>
      </c>
      <c r="P147" s="8"/>
    </row>
    <row r="148" spans="1:16" s="12" customFormat="1" ht="22.9" customHeight="1">
      <c r="A148" s="13">
        <v>140</v>
      </c>
      <c r="B148" s="8" t="s">
        <v>179</v>
      </c>
      <c r="C148" s="14">
        <v>0.60699999999999998</v>
      </c>
      <c r="D148" s="8"/>
      <c r="E148" s="15">
        <v>68.0608</v>
      </c>
      <c r="F148" s="8"/>
      <c r="G148" s="15">
        <v>10.136110309999999</v>
      </c>
      <c r="H148" s="8"/>
      <c r="I148" s="15">
        <v>5.3739999999999997</v>
      </c>
      <c r="J148" s="8"/>
      <c r="K148" s="13">
        <v>7699.5796170000003</v>
      </c>
      <c r="L148" s="8"/>
      <c r="M148" s="13">
        <v>-18</v>
      </c>
      <c r="N148" s="8"/>
      <c r="O148" s="13">
        <v>142</v>
      </c>
      <c r="P148" s="8"/>
    </row>
    <row r="149" spans="1:16" s="12" customFormat="1" ht="22.9" customHeight="1">
      <c r="A149" s="13">
        <v>140</v>
      </c>
      <c r="B149" s="8" t="s">
        <v>180</v>
      </c>
      <c r="C149" s="14">
        <v>0.60699999999999998</v>
      </c>
      <c r="D149" s="8"/>
      <c r="E149" s="15">
        <v>67.736900000000006</v>
      </c>
      <c r="F149" s="8"/>
      <c r="G149" s="15">
        <v>12.616097999999999</v>
      </c>
      <c r="H149" s="16" t="s">
        <v>115</v>
      </c>
      <c r="I149" s="15">
        <v>5.4367900000000002</v>
      </c>
      <c r="J149" s="8"/>
      <c r="K149" s="13">
        <v>4460.8694349999996</v>
      </c>
      <c r="L149" s="8"/>
      <c r="M149" s="13">
        <v>7</v>
      </c>
      <c r="N149" s="8"/>
      <c r="O149" s="13">
        <v>140</v>
      </c>
      <c r="P149" s="8"/>
    </row>
    <row r="150" spans="1:16" s="12" customFormat="1" ht="22.9" customHeight="1">
      <c r="A150" s="13">
        <v>140</v>
      </c>
      <c r="B150" s="8" t="s">
        <v>181</v>
      </c>
      <c r="C150" s="14">
        <v>0.60699999999999998</v>
      </c>
      <c r="D150" s="8"/>
      <c r="E150" s="15">
        <v>70.448999999999998</v>
      </c>
      <c r="F150" s="8"/>
      <c r="G150" s="15">
        <v>11.53531503</v>
      </c>
      <c r="H150" s="16" t="s">
        <v>28</v>
      </c>
      <c r="I150" s="15">
        <v>7.0648460000000002</v>
      </c>
      <c r="J150" s="16" t="s">
        <v>182</v>
      </c>
      <c r="K150" s="13">
        <v>3085.4116330000002</v>
      </c>
      <c r="L150" s="8"/>
      <c r="M150" s="13">
        <v>23</v>
      </c>
      <c r="N150" s="8"/>
      <c r="O150" s="13">
        <v>142</v>
      </c>
      <c r="P150" s="8"/>
    </row>
    <row r="151" spans="1:16" s="12" customFormat="1" ht="22.9" customHeight="1">
      <c r="A151" s="13">
        <v>143</v>
      </c>
      <c r="B151" s="8" t="s">
        <v>183</v>
      </c>
      <c r="C151" s="14">
        <v>0.60199999999999998</v>
      </c>
      <c r="D151" s="8"/>
      <c r="E151" s="15">
        <v>68.4495</v>
      </c>
      <c r="F151" s="8"/>
      <c r="G151" s="15">
        <v>12.88694954</v>
      </c>
      <c r="H151" s="8"/>
      <c r="I151" s="15">
        <v>5.1217927420000002</v>
      </c>
      <c r="J151" s="16" t="s">
        <v>101</v>
      </c>
      <c r="K151" s="13">
        <v>3877.3154439999998</v>
      </c>
      <c r="L151" s="8"/>
      <c r="M151" s="13">
        <v>10</v>
      </c>
      <c r="N151" s="8"/>
      <c r="O151" s="13">
        <v>144</v>
      </c>
      <c r="P151" s="8"/>
    </row>
    <row r="152" spans="1:16" s="12" customFormat="1" ht="22.9" customHeight="1">
      <c r="A152" s="13">
        <v>144</v>
      </c>
      <c r="B152" s="8" t="s">
        <v>184</v>
      </c>
      <c r="C152" s="14">
        <v>0.59699999999999998</v>
      </c>
      <c r="D152" s="8"/>
      <c r="E152" s="15">
        <v>57.0657</v>
      </c>
      <c r="F152" s="8"/>
      <c r="G152" s="15">
        <v>13.744345859999999</v>
      </c>
      <c r="H152" s="16" t="s">
        <v>28</v>
      </c>
      <c r="I152" s="15">
        <v>5.5960000000000001</v>
      </c>
      <c r="J152" s="8"/>
      <c r="K152" s="13">
        <v>7678.5918730000003</v>
      </c>
      <c r="L152" s="8"/>
      <c r="M152" s="13">
        <v>-21</v>
      </c>
      <c r="N152" s="8"/>
      <c r="O152" s="13">
        <v>141</v>
      </c>
      <c r="P152" s="8"/>
    </row>
    <row r="153" spans="1:16" s="12" customFormat="1" ht="22.9" customHeight="1">
      <c r="A153" s="13">
        <v>145</v>
      </c>
      <c r="B153" s="8" t="s">
        <v>185</v>
      </c>
      <c r="C153" s="14">
        <v>0.59599999999999997</v>
      </c>
      <c r="D153" s="8"/>
      <c r="E153" s="15">
        <v>60.594299999999997</v>
      </c>
      <c r="F153" s="8"/>
      <c r="G153" s="15">
        <v>9.7349399999999999</v>
      </c>
      <c r="H153" s="16" t="s">
        <v>83</v>
      </c>
      <c r="I153" s="15">
        <v>5.910863</v>
      </c>
      <c r="J153" s="16" t="s">
        <v>66</v>
      </c>
      <c r="K153" s="13">
        <v>12073.959930000001</v>
      </c>
      <c r="L153" s="8"/>
      <c r="M153" s="13">
        <v>-47</v>
      </c>
      <c r="N153" s="8"/>
      <c r="O153" s="13">
        <v>147</v>
      </c>
      <c r="P153" s="8"/>
    </row>
    <row r="154" spans="1:16" s="12" customFormat="1" ht="22.9" customHeight="1">
      <c r="A154" s="13">
        <v>146</v>
      </c>
      <c r="B154" s="8" t="s">
        <v>186</v>
      </c>
      <c r="C154" s="14">
        <v>0.59299999999999997</v>
      </c>
      <c r="D154" s="8"/>
      <c r="E154" s="15">
        <v>69.583500000000001</v>
      </c>
      <c r="F154" s="8"/>
      <c r="G154" s="15">
        <v>11.46772</v>
      </c>
      <c r="H154" s="16" t="s">
        <v>187</v>
      </c>
      <c r="I154" s="15">
        <v>5.0880000000000001</v>
      </c>
      <c r="J154" s="8"/>
      <c r="K154" s="13">
        <v>4078.697154</v>
      </c>
      <c r="L154" s="8"/>
      <c r="M154" s="13">
        <v>3</v>
      </c>
      <c r="N154" s="8"/>
      <c r="O154" s="13">
        <v>148</v>
      </c>
      <c r="P154" s="8"/>
    </row>
    <row r="155" spans="1:16" s="12" customFormat="1" ht="22.9" customHeight="1">
      <c r="A155" s="13">
        <v>146</v>
      </c>
      <c r="B155" s="8" t="s">
        <v>188</v>
      </c>
      <c r="C155" s="14">
        <v>0.59299999999999997</v>
      </c>
      <c r="D155" s="8"/>
      <c r="E155" s="15">
        <v>59.253100000000003</v>
      </c>
      <c r="F155" s="8"/>
      <c r="G155" s="15">
        <v>12.110969040000001</v>
      </c>
      <c r="H155" s="16" t="s">
        <v>28</v>
      </c>
      <c r="I155" s="15">
        <v>8.7109085010000005</v>
      </c>
      <c r="J155" s="16" t="s">
        <v>28</v>
      </c>
      <c r="K155" s="13">
        <v>3809.887158</v>
      </c>
      <c r="L155" s="8"/>
      <c r="M155" s="13">
        <v>9</v>
      </c>
      <c r="N155" s="8"/>
      <c r="O155" s="13">
        <v>145</v>
      </c>
      <c r="P155" s="8"/>
    </row>
    <row r="156" spans="1:16" s="12" customFormat="1" ht="22.9" customHeight="1">
      <c r="A156" s="13">
        <v>148</v>
      </c>
      <c r="B156" s="8" t="s">
        <v>189</v>
      </c>
      <c r="C156" s="14">
        <v>0.58599999999999997</v>
      </c>
      <c r="D156" s="8"/>
      <c r="E156" s="15">
        <v>61.6434</v>
      </c>
      <c r="F156" s="8"/>
      <c r="G156" s="15">
        <v>12.1721</v>
      </c>
      <c r="H156" s="8"/>
      <c r="I156" s="15">
        <v>5.4173908229999999</v>
      </c>
      <c r="J156" s="8"/>
      <c r="K156" s="13">
        <v>5465.6177909999997</v>
      </c>
      <c r="L156" s="8"/>
      <c r="M156" s="13">
        <v>-14</v>
      </c>
      <c r="N156" s="8"/>
      <c r="O156" s="13">
        <v>149</v>
      </c>
      <c r="P156" s="8"/>
    </row>
    <row r="157" spans="1:16" s="12" customFormat="1" ht="22.9" customHeight="1">
      <c r="A157" s="13">
        <v>149</v>
      </c>
      <c r="B157" s="8" t="s">
        <v>190</v>
      </c>
      <c r="C157" s="14">
        <v>0.58499999999999996</v>
      </c>
      <c r="D157" s="8"/>
      <c r="E157" s="15">
        <v>65.671599999999998</v>
      </c>
      <c r="F157" s="8"/>
      <c r="G157" s="15">
        <v>10.90913752</v>
      </c>
      <c r="H157" s="16" t="s">
        <v>28</v>
      </c>
      <c r="I157" s="15">
        <v>6.3768000599999999</v>
      </c>
      <c r="J157" s="8"/>
      <c r="K157" s="13">
        <v>3850.524234</v>
      </c>
      <c r="L157" s="8"/>
      <c r="M157" s="13">
        <v>5</v>
      </c>
      <c r="N157" s="8"/>
      <c r="O157" s="13">
        <v>145</v>
      </c>
      <c r="P157" s="8"/>
    </row>
    <row r="158" spans="1:16" s="12" customFormat="1" ht="22.9" customHeight="1">
      <c r="A158" s="13">
        <v>150</v>
      </c>
      <c r="B158" s="8" t="s">
        <v>191</v>
      </c>
      <c r="C158" s="14">
        <v>0.57699999999999996</v>
      </c>
      <c r="D158" s="8"/>
      <c r="E158" s="15">
        <v>72.062700000000007</v>
      </c>
      <c r="F158" s="8"/>
      <c r="G158" s="15">
        <v>9.1642198560000008</v>
      </c>
      <c r="H158" s="8"/>
      <c r="I158" s="15">
        <v>5.0999999999999996</v>
      </c>
      <c r="J158" s="16" t="s">
        <v>83</v>
      </c>
      <c r="K158" s="13">
        <v>4191.9338930000004</v>
      </c>
      <c r="L158" s="16" t="s">
        <v>192</v>
      </c>
      <c r="M158" s="13">
        <v>-2</v>
      </c>
      <c r="N158" s="8"/>
      <c r="O158" s="13">
        <v>152</v>
      </c>
      <c r="P158" s="8"/>
    </row>
    <row r="159" spans="1:16" s="12" customFormat="1" ht="22.9" customHeight="1">
      <c r="A159" s="13">
        <v>151</v>
      </c>
      <c r="B159" s="8" t="s">
        <v>193</v>
      </c>
      <c r="C159" s="14">
        <v>0.57599999999999996</v>
      </c>
      <c r="D159" s="8"/>
      <c r="E159" s="15">
        <v>60.333399999999997</v>
      </c>
      <c r="F159" s="8"/>
      <c r="G159" s="15">
        <v>13.10859922</v>
      </c>
      <c r="H159" s="16" t="s">
        <v>28</v>
      </c>
      <c r="I159" s="15">
        <v>6.1513099999999996</v>
      </c>
      <c r="J159" s="16" t="s">
        <v>101</v>
      </c>
      <c r="K159" s="13">
        <v>3620.9324080000001</v>
      </c>
      <c r="L159" s="8"/>
      <c r="M159" s="13">
        <v>6</v>
      </c>
      <c r="N159" s="8"/>
      <c r="O159" s="13">
        <v>150</v>
      </c>
      <c r="P159" s="8"/>
    </row>
    <row r="160" spans="1:16" s="12" customFormat="1" ht="22.9" customHeight="1">
      <c r="A160" s="13">
        <v>152</v>
      </c>
      <c r="B160" s="8" t="s">
        <v>194</v>
      </c>
      <c r="C160" s="14">
        <v>0.57499999999999996</v>
      </c>
      <c r="D160" s="8"/>
      <c r="E160" s="15">
        <v>61.427</v>
      </c>
      <c r="F160" s="8"/>
      <c r="G160" s="15">
        <v>10.698558350000001</v>
      </c>
      <c r="H160" s="16" t="s">
        <v>178</v>
      </c>
      <c r="I160" s="15">
        <v>6.6520000000000001</v>
      </c>
      <c r="J160" s="8"/>
      <c r="K160" s="13">
        <v>4473.5703439999997</v>
      </c>
      <c r="L160" s="8"/>
      <c r="M160" s="13">
        <v>-6</v>
      </c>
      <c r="N160" s="8"/>
      <c r="O160" s="13">
        <v>150</v>
      </c>
      <c r="P160" s="8"/>
    </row>
    <row r="161" spans="1:16" s="12" customFormat="1" ht="22.9" customHeight="1">
      <c r="A161" s="13">
        <v>153</v>
      </c>
      <c r="B161" s="8" t="s">
        <v>195</v>
      </c>
      <c r="C161" s="14">
        <v>0.57099999999999995</v>
      </c>
      <c r="D161" s="8"/>
      <c r="E161" s="15">
        <v>63.518700000000003</v>
      </c>
      <c r="F161" s="8"/>
      <c r="G161" s="15">
        <v>12.33081527</v>
      </c>
      <c r="H161" s="16" t="s">
        <v>28</v>
      </c>
      <c r="I161" s="15">
        <v>6.1660000000000004</v>
      </c>
      <c r="J161" s="8"/>
      <c r="K161" s="13">
        <v>2889.2835209999998</v>
      </c>
      <c r="L161" s="8"/>
      <c r="M161" s="13">
        <v>11</v>
      </c>
      <c r="N161" s="8"/>
      <c r="O161" s="13">
        <v>153</v>
      </c>
      <c r="P161" s="8"/>
    </row>
    <row r="162" spans="1:16" s="12" customFormat="1" ht="22.9" customHeight="1">
      <c r="A162" s="13">
        <v>154</v>
      </c>
      <c r="B162" s="8" t="s">
        <v>196</v>
      </c>
      <c r="C162" s="14">
        <v>0.56499999999999995</v>
      </c>
      <c r="D162" s="8"/>
      <c r="E162" s="15">
        <v>61.223399999999998</v>
      </c>
      <c r="F162" s="8"/>
      <c r="G162" s="15">
        <v>10.92876021</v>
      </c>
      <c r="H162" s="16" t="s">
        <v>187</v>
      </c>
      <c r="I162" s="15">
        <v>7.1870914939999997</v>
      </c>
      <c r="J162" s="16" t="s">
        <v>101</v>
      </c>
      <c r="K162" s="13">
        <v>3217.7677389999999</v>
      </c>
      <c r="L162" s="8"/>
      <c r="M162" s="13">
        <v>7</v>
      </c>
      <c r="N162" s="8"/>
      <c r="O162" s="13">
        <v>154</v>
      </c>
      <c r="P162" s="8"/>
    </row>
    <row r="163" spans="1:16" s="12" customFormat="1" ht="22.9" customHeight="1">
      <c r="A163" s="13">
        <v>155</v>
      </c>
      <c r="B163" s="8" t="s">
        <v>197</v>
      </c>
      <c r="C163" s="14">
        <v>0.56399999999999995</v>
      </c>
      <c r="D163" s="8"/>
      <c r="E163" s="15">
        <v>70.347700000000003</v>
      </c>
      <c r="F163" s="8"/>
      <c r="G163" s="15">
        <v>10.328690269999999</v>
      </c>
      <c r="H163" s="16" t="s">
        <v>28</v>
      </c>
      <c r="I163" s="15">
        <v>5.7118479999999998</v>
      </c>
      <c r="J163" s="16" t="s">
        <v>151</v>
      </c>
      <c r="K163" s="13">
        <v>2481.5113620000002</v>
      </c>
      <c r="L163" s="8"/>
      <c r="M163" s="13">
        <v>13</v>
      </c>
      <c r="N163" s="8"/>
      <c r="O163" s="13">
        <v>155</v>
      </c>
      <c r="P163" s="8"/>
    </row>
    <row r="164" spans="1:16" s="12" customFormat="1" ht="22.9" customHeight="1">
      <c r="A164" s="13">
        <v>156</v>
      </c>
      <c r="B164" s="8" t="s">
        <v>198</v>
      </c>
      <c r="C164" s="14">
        <v>0.55800000000000005</v>
      </c>
      <c r="D164" s="8"/>
      <c r="E164" s="15">
        <v>63.417400000000001</v>
      </c>
      <c r="F164" s="8"/>
      <c r="G164" s="15">
        <v>11.92432393</v>
      </c>
      <c r="H164" s="16" t="s">
        <v>28</v>
      </c>
      <c r="I164" s="15">
        <v>5.0786490000000004</v>
      </c>
      <c r="J164" s="16" t="s">
        <v>83</v>
      </c>
      <c r="K164" s="13">
        <v>3142.0641190000001</v>
      </c>
      <c r="L164" s="8"/>
      <c r="M164" s="13">
        <v>6</v>
      </c>
      <c r="N164" s="8"/>
      <c r="O164" s="13">
        <v>156</v>
      </c>
      <c r="P164" s="8"/>
    </row>
    <row r="165" spans="1:16" s="12" customFormat="1" ht="22.9" customHeight="1">
      <c r="A165" s="13">
        <v>156</v>
      </c>
      <c r="B165" s="8" t="s">
        <v>199</v>
      </c>
      <c r="C165" s="14">
        <v>0.55800000000000005</v>
      </c>
      <c r="D165" s="8"/>
      <c r="E165" s="15">
        <v>65.3506</v>
      </c>
      <c r="F165" s="8"/>
      <c r="G165" s="15">
        <v>10.36077074</v>
      </c>
      <c r="H165" s="16" t="s">
        <v>178</v>
      </c>
      <c r="I165" s="15">
        <v>4.74</v>
      </c>
      <c r="J165" s="8"/>
      <c r="K165" s="13">
        <v>4008.6235729999999</v>
      </c>
      <c r="L165" s="8"/>
      <c r="M165" s="13">
        <v>-4</v>
      </c>
      <c r="N165" s="8"/>
      <c r="O165" s="13">
        <v>157</v>
      </c>
      <c r="P165" s="8"/>
    </row>
    <row r="166" spans="1:16" s="12" customFormat="1" ht="22.9" customHeight="1">
      <c r="A166" s="13">
        <v>158</v>
      </c>
      <c r="B166" s="8" t="s">
        <v>200</v>
      </c>
      <c r="C166" s="14">
        <v>0.55600000000000005</v>
      </c>
      <c r="D166" s="8"/>
      <c r="E166" s="15">
        <v>64.363600000000005</v>
      </c>
      <c r="F166" s="8"/>
      <c r="G166" s="15">
        <v>9.3761596679999997</v>
      </c>
      <c r="H166" s="8"/>
      <c r="I166" s="15">
        <v>4.9188048909999997</v>
      </c>
      <c r="J166" s="16" t="s">
        <v>101</v>
      </c>
      <c r="K166" s="13">
        <v>5075.305711</v>
      </c>
      <c r="L166" s="8"/>
      <c r="M166" s="13">
        <v>-20</v>
      </c>
      <c r="N166" s="8"/>
      <c r="O166" s="13">
        <v>158</v>
      </c>
      <c r="P166" s="8"/>
    </row>
    <row r="167" spans="1:16" s="12" customFormat="1" ht="22.9" customHeight="1">
      <c r="A167" s="13">
        <v>159</v>
      </c>
      <c r="B167" s="8" t="s">
        <v>201</v>
      </c>
      <c r="C167" s="14">
        <v>0.55000000000000004</v>
      </c>
      <c r="D167" s="8"/>
      <c r="E167" s="15">
        <v>58.598300000000002</v>
      </c>
      <c r="F167" s="8"/>
      <c r="G167" s="15">
        <v>10.67558002</v>
      </c>
      <c r="H167" s="8"/>
      <c r="I167" s="15">
        <v>5.1991389769999996</v>
      </c>
      <c r="J167" s="16" t="s">
        <v>101</v>
      </c>
      <c r="K167" s="13">
        <v>5217.4485160000004</v>
      </c>
      <c r="L167" s="8"/>
      <c r="M167" s="13">
        <v>-22</v>
      </c>
      <c r="N167" s="8"/>
      <c r="O167" s="13">
        <v>159</v>
      </c>
      <c r="P167" s="8"/>
    </row>
    <row r="168" spans="1:16" s="12" customFormat="1" ht="22.9" customHeight="1">
      <c r="A168" s="8"/>
      <c r="B168" s="32" t="s">
        <v>202</v>
      </c>
      <c r="C168" s="32"/>
      <c r="D168" s="32"/>
      <c r="E168" s="32"/>
      <c r="F168" s="32"/>
      <c r="G168" s="32"/>
      <c r="H168" s="32"/>
      <c r="I168" s="32"/>
      <c r="J168" s="32"/>
      <c r="K168" s="32"/>
      <c r="L168" s="32"/>
      <c r="M168" s="32"/>
      <c r="N168" s="32"/>
      <c r="O168" s="32"/>
      <c r="P168" s="8"/>
    </row>
    <row r="169" spans="1:16" s="12" customFormat="1" ht="22.9" customHeight="1">
      <c r="A169" s="13">
        <v>160</v>
      </c>
      <c r="B169" s="8" t="s">
        <v>203</v>
      </c>
      <c r="C169" s="14">
        <v>0.54900000000000004</v>
      </c>
      <c r="D169" s="8"/>
      <c r="E169" s="15">
        <v>66.200699999999998</v>
      </c>
      <c r="F169" s="8"/>
      <c r="G169" s="15">
        <v>9.2214899060000004</v>
      </c>
      <c r="H169" s="8"/>
      <c r="I169" s="15">
        <v>6.3728987100000003</v>
      </c>
      <c r="J169" s="16" t="s">
        <v>28</v>
      </c>
      <c r="K169" s="13">
        <v>2664.3290959999999</v>
      </c>
      <c r="L169" s="8"/>
      <c r="M169" s="13">
        <v>7</v>
      </c>
      <c r="N169" s="8"/>
      <c r="O169" s="13">
        <v>160</v>
      </c>
      <c r="P169" s="8"/>
    </row>
    <row r="170" spans="1:16" s="12" customFormat="1" ht="22.9" customHeight="1">
      <c r="A170" s="13">
        <v>161</v>
      </c>
      <c r="B170" s="8" t="s">
        <v>204</v>
      </c>
      <c r="C170" s="14">
        <v>0.54400000000000004</v>
      </c>
      <c r="D170" s="8"/>
      <c r="E170" s="15">
        <v>66.097899999999996</v>
      </c>
      <c r="F170" s="8"/>
      <c r="G170" s="15">
        <v>8.6583499909999997</v>
      </c>
      <c r="H170" s="8"/>
      <c r="I170" s="15">
        <v>4.5363302230000002</v>
      </c>
      <c r="J170" s="8"/>
      <c r="K170" s="13">
        <v>4623.70543</v>
      </c>
      <c r="L170" s="8"/>
      <c r="M170" s="13">
        <v>-19</v>
      </c>
      <c r="N170" s="8"/>
      <c r="O170" s="13">
        <v>161</v>
      </c>
      <c r="P170" s="8"/>
    </row>
    <row r="171" spans="1:16" s="12" customFormat="1" ht="22.9" customHeight="1">
      <c r="A171" s="13">
        <v>162</v>
      </c>
      <c r="B171" s="8" t="s">
        <v>205</v>
      </c>
      <c r="C171" s="14">
        <v>0.53900000000000003</v>
      </c>
      <c r="D171" s="8"/>
      <c r="E171" s="15">
        <v>61.619399999999999</v>
      </c>
      <c r="F171" s="8"/>
      <c r="G171" s="15">
        <v>12.95049378</v>
      </c>
      <c r="H171" s="16" t="s">
        <v>28</v>
      </c>
      <c r="I171" s="15">
        <v>5.0168073670000002</v>
      </c>
      <c r="J171" s="16" t="s">
        <v>101</v>
      </c>
      <c r="K171" s="13">
        <v>2166.6190620000002</v>
      </c>
      <c r="L171" s="8"/>
      <c r="M171" s="13">
        <v>12</v>
      </c>
      <c r="N171" s="8"/>
      <c r="O171" s="13">
        <v>163</v>
      </c>
      <c r="P171" s="8"/>
    </row>
    <row r="172" spans="1:16" s="12" customFormat="1" ht="22.9" customHeight="1">
      <c r="A172" s="13">
        <v>163</v>
      </c>
      <c r="B172" s="8" t="s">
        <v>206</v>
      </c>
      <c r="C172" s="14">
        <v>0.53500000000000003</v>
      </c>
      <c r="D172" s="8"/>
      <c r="E172" s="15">
        <v>63.192399999999999</v>
      </c>
      <c r="F172" s="8"/>
      <c r="G172" s="15">
        <v>9.6999999999999993</v>
      </c>
      <c r="H172" s="16" t="s">
        <v>115</v>
      </c>
      <c r="I172" s="15">
        <v>5.5540000000000003</v>
      </c>
      <c r="J172" s="8"/>
      <c r="K172" s="13">
        <v>2847.5007460000002</v>
      </c>
      <c r="L172" s="8"/>
      <c r="M172" s="13">
        <v>2</v>
      </c>
      <c r="N172" s="8"/>
      <c r="O172" s="13">
        <v>162</v>
      </c>
      <c r="P172" s="8"/>
    </row>
    <row r="173" spans="1:16" s="12" customFormat="1" ht="22.9" customHeight="1">
      <c r="A173" s="13">
        <v>163</v>
      </c>
      <c r="B173" s="8" t="s">
        <v>207</v>
      </c>
      <c r="C173" s="14">
        <v>0.53500000000000003</v>
      </c>
      <c r="D173" s="8"/>
      <c r="E173" s="15">
        <v>52.676000000000002</v>
      </c>
      <c r="F173" s="8"/>
      <c r="G173" s="15">
        <v>10.12758388</v>
      </c>
      <c r="H173" s="16" t="s">
        <v>178</v>
      </c>
      <c r="I173" s="15">
        <v>7.181074153</v>
      </c>
      <c r="J173" s="16" t="s">
        <v>187</v>
      </c>
      <c r="K173" s="13">
        <v>4790.2844249999998</v>
      </c>
      <c r="L173" s="8"/>
      <c r="M173" s="13">
        <v>-22</v>
      </c>
      <c r="N173" s="8"/>
      <c r="O173" s="13">
        <v>163</v>
      </c>
      <c r="P173" s="8"/>
    </row>
    <row r="174" spans="1:16" s="12" customFormat="1" ht="22.9" customHeight="1">
      <c r="A174" s="13">
        <v>165</v>
      </c>
      <c r="B174" s="8" t="s">
        <v>208</v>
      </c>
      <c r="C174" s="14">
        <v>0.53400000000000003</v>
      </c>
      <c r="D174" s="8"/>
      <c r="E174" s="15">
        <v>66.072199999999995</v>
      </c>
      <c r="F174" s="8"/>
      <c r="G174" s="15">
        <v>11.23097038</v>
      </c>
      <c r="H174" s="8"/>
      <c r="I174" s="15">
        <v>4.4252923580000001</v>
      </c>
      <c r="J174" s="16" t="s">
        <v>28</v>
      </c>
      <c r="K174" s="13">
        <v>2209.7952019999998</v>
      </c>
      <c r="L174" s="8"/>
      <c r="M174" s="13">
        <v>6</v>
      </c>
      <c r="N174" s="8"/>
      <c r="O174" s="13">
        <v>165</v>
      </c>
      <c r="P174" s="8"/>
    </row>
    <row r="175" spans="1:16" s="12" customFormat="1" ht="22.9" customHeight="1">
      <c r="A175" s="13">
        <v>166</v>
      </c>
      <c r="B175" s="8" t="s">
        <v>209</v>
      </c>
      <c r="C175" s="14">
        <v>0.52500000000000002</v>
      </c>
      <c r="D175" s="8"/>
      <c r="E175" s="15">
        <v>59.820999999999998</v>
      </c>
      <c r="F175" s="8"/>
      <c r="G175" s="15">
        <v>10.766679760000001</v>
      </c>
      <c r="H175" s="8"/>
      <c r="I175" s="15">
        <v>4.3047864450000004</v>
      </c>
      <c r="J175" s="16" t="s">
        <v>101</v>
      </c>
      <c r="K175" s="13">
        <v>3408.9659230000002</v>
      </c>
      <c r="L175" s="8"/>
      <c r="M175" s="13">
        <v>-7</v>
      </c>
      <c r="N175" s="8"/>
      <c r="O175" s="13">
        <v>166</v>
      </c>
      <c r="P175" s="8"/>
    </row>
    <row r="176" spans="1:16" s="12" customFormat="1" ht="22.9" customHeight="1">
      <c r="A176" s="13">
        <v>166</v>
      </c>
      <c r="B176" s="8" t="s">
        <v>210</v>
      </c>
      <c r="C176" s="14">
        <v>0.52500000000000002</v>
      </c>
      <c r="D176" s="8"/>
      <c r="E176" s="15">
        <v>62.704799999999999</v>
      </c>
      <c r="F176" s="8"/>
      <c r="G176" s="15">
        <v>10.14986994</v>
      </c>
      <c r="H176" s="16" t="s">
        <v>178</v>
      </c>
      <c r="I176" s="15">
        <v>5.7309415660000003</v>
      </c>
      <c r="J176" s="16" t="s">
        <v>101</v>
      </c>
      <c r="K176" s="13">
        <v>2181.43651</v>
      </c>
      <c r="L176" s="8"/>
      <c r="M176" s="13">
        <v>6</v>
      </c>
      <c r="N176" s="8"/>
      <c r="O176" s="13">
        <v>166</v>
      </c>
      <c r="P176" s="8"/>
    </row>
    <row r="177" spans="1:16" s="12" customFormat="1" ht="22.9" customHeight="1">
      <c r="A177" s="13">
        <v>168</v>
      </c>
      <c r="B177" s="8" t="s">
        <v>211</v>
      </c>
      <c r="C177" s="14">
        <v>0.51400000000000001</v>
      </c>
      <c r="D177" s="8"/>
      <c r="E177" s="15">
        <v>53.061999999999998</v>
      </c>
      <c r="F177" s="8"/>
      <c r="G177" s="15">
        <v>12.04087801</v>
      </c>
      <c r="H177" s="16" t="s">
        <v>28</v>
      </c>
      <c r="I177" s="15">
        <v>6.0101847069999996</v>
      </c>
      <c r="J177" s="16" t="s">
        <v>101</v>
      </c>
      <c r="K177" s="13">
        <v>2700.4357479999999</v>
      </c>
      <c r="L177" s="8"/>
      <c r="M177" s="13">
        <v>-2</v>
      </c>
      <c r="N177" s="8"/>
      <c r="O177" s="13">
        <v>168</v>
      </c>
      <c r="P177" s="8"/>
    </row>
    <row r="178" spans="1:16" s="12" customFormat="1" ht="22.9" customHeight="1">
      <c r="A178" s="13">
        <v>169</v>
      </c>
      <c r="B178" s="8" t="s">
        <v>212</v>
      </c>
      <c r="C178" s="14">
        <v>0.51200000000000001</v>
      </c>
      <c r="D178" s="8"/>
      <c r="E178" s="15">
        <v>62.904400000000003</v>
      </c>
      <c r="F178" s="8"/>
      <c r="G178" s="15">
        <v>12.67898523</v>
      </c>
      <c r="H178" s="16" t="s">
        <v>28</v>
      </c>
      <c r="I178" s="15">
        <v>4.4896953850000001</v>
      </c>
      <c r="J178" s="16" t="s">
        <v>101</v>
      </c>
      <c r="K178" s="13">
        <v>1465.6350640000001</v>
      </c>
      <c r="L178" s="8"/>
      <c r="M178" s="13">
        <v>13</v>
      </c>
      <c r="N178" s="8"/>
      <c r="O178" s="13">
        <v>169</v>
      </c>
      <c r="P178" s="8"/>
    </row>
    <row r="179" spans="1:16" s="12" customFormat="1" ht="22.9" customHeight="1">
      <c r="A179" s="13">
        <v>170</v>
      </c>
      <c r="B179" s="8" t="s">
        <v>213</v>
      </c>
      <c r="C179" s="14">
        <v>0.51100000000000001</v>
      </c>
      <c r="D179" s="8"/>
      <c r="E179" s="15">
        <v>67.092600000000004</v>
      </c>
      <c r="F179" s="8"/>
      <c r="G179" s="15">
        <v>8.9637498860000004</v>
      </c>
      <c r="H179" s="8"/>
      <c r="I179" s="15">
        <v>2.937938258</v>
      </c>
      <c r="J179" s="16" t="s">
        <v>28</v>
      </c>
      <c r="K179" s="13">
        <v>3344.3118250000002</v>
      </c>
      <c r="L179" s="8"/>
      <c r="M179" s="13">
        <v>-10</v>
      </c>
      <c r="N179" s="8"/>
      <c r="O179" s="13">
        <v>170</v>
      </c>
      <c r="P179" s="8"/>
    </row>
    <row r="180" spans="1:16" s="12" customFormat="1" ht="22.9" customHeight="1">
      <c r="A180" s="13">
        <v>171</v>
      </c>
      <c r="B180" s="8" t="s">
        <v>214</v>
      </c>
      <c r="C180" s="14">
        <v>0.50900000000000001</v>
      </c>
      <c r="D180" s="8"/>
      <c r="E180" s="15">
        <v>62.304900000000004</v>
      </c>
      <c r="F180" s="8"/>
      <c r="G180" s="15">
        <v>7.4329799999999997</v>
      </c>
      <c r="H180" s="16" t="s">
        <v>28</v>
      </c>
      <c r="I180" s="15">
        <v>4.0999999999999996</v>
      </c>
      <c r="J180" s="16" t="s">
        <v>83</v>
      </c>
      <c r="K180" s="13">
        <v>5024.9939439999998</v>
      </c>
      <c r="L180" s="8"/>
      <c r="M180" s="13">
        <v>-32</v>
      </c>
      <c r="N180" s="8"/>
      <c r="O180" s="13">
        <v>171</v>
      </c>
      <c r="P180" s="8"/>
    </row>
    <row r="181" spans="1:16" s="12" customFormat="1" ht="22.9" customHeight="1">
      <c r="A181" s="13">
        <v>172</v>
      </c>
      <c r="B181" s="8" t="s">
        <v>215</v>
      </c>
      <c r="C181" s="14">
        <v>0.50800000000000001</v>
      </c>
      <c r="D181" s="8"/>
      <c r="E181" s="15">
        <v>65.2667</v>
      </c>
      <c r="F181" s="8"/>
      <c r="G181" s="15">
        <v>7.9451878579999997</v>
      </c>
      <c r="H181" s="16" t="s">
        <v>28</v>
      </c>
      <c r="I181" s="15">
        <v>3.82</v>
      </c>
      <c r="J181" s="8"/>
      <c r="K181" s="13">
        <v>3575.1908400000002</v>
      </c>
      <c r="L181" s="8"/>
      <c r="M181" s="13">
        <v>-14</v>
      </c>
      <c r="N181" s="8"/>
      <c r="O181" s="13">
        <v>171</v>
      </c>
      <c r="P181" s="8"/>
    </row>
    <row r="182" spans="1:16" s="12" customFormat="1" ht="22.9" customHeight="1">
      <c r="A182" s="13">
        <v>173</v>
      </c>
      <c r="B182" s="8" t="s">
        <v>216</v>
      </c>
      <c r="C182" s="14">
        <v>0.501</v>
      </c>
      <c r="D182" s="8"/>
      <c r="E182" s="15">
        <v>64.485299999999995</v>
      </c>
      <c r="F182" s="8"/>
      <c r="G182" s="15">
        <v>10.13499142</v>
      </c>
      <c r="H182" s="16" t="s">
        <v>28</v>
      </c>
      <c r="I182" s="15">
        <v>5.1204685339999996</v>
      </c>
      <c r="J182" s="16" t="s">
        <v>178</v>
      </c>
      <c r="K182" s="13">
        <v>1483.5209829999999</v>
      </c>
      <c r="L182" s="8"/>
      <c r="M182" s="13">
        <v>8</v>
      </c>
      <c r="N182" s="8"/>
      <c r="O182" s="13">
        <v>173</v>
      </c>
      <c r="P182" s="8"/>
    </row>
    <row r="183" spans="1:16" s="12" customFormat="1" ht="22.9" customHeight="1">
      <c r="A183" s="13">
        <v>174</v>
      </c>
      <c r="B183" s="8" t="s">
        <v>217</v>
      </c>
      <c r="C183" s="14">
        <v>0.5</v>
      </c>
      <c r="D183" s="8"/>
      <c r="E183" s="15">
        <v>62.082999999999998</v>
      </c>
      <c r="F183" s="8"/>
      <c r="G183" s="15">
        <v>9.4186262989999996</v>
      </c>
      <c r="H183" s="16" t="s">
        <v>178</v>
      </c>
      <c r="I183" s="15">
        <v>4.6374874110000004</v>
      </c>
      <c r="J183" s="8"/>
      <c r="K183" s="13">
        <v>2172.207664</v>
      </c>
      <c r="L183" s="8"/>
      <c r="M183" s="13">
        <v>-1</v>
      </c>
      <c r="N183" s="8"/>
      <c r="O183" s="13">
        <v>173</v>
      </c>
      <c r="P183" s="8"/>
    </row>
    <row r="184" spans="1:16" s="12" customFormat="1" ht="22.9" customHeight="1">
      <c r="A184" s="13">
        <v>175</v>
      </c>
      <c r="B184" s="8" t="s">
        <v>218</v>
      </c>
      <c r="C184" s="14">
        <v>0.498</v>
      </c>
      <c r="D184" s="8"/>
      <c r="E184" s="15">
        <v>64.974800000000002</v>
      </c>
      <c r="F184" s="8"/>
      <c r="G184" s="15">
        <v>9.6510714209999993</v>
      </c>
      <c r="H184" s="16" t="s">
        <v>28</v>
      </c>
      <c r="I184" s="15">
        <v>3.2015206809999999</v>
      </c>
      <c r="J184" s="8"/>
      <c r="K184" s="13">
        <v>2361.0696039999998</v>
      </c>
      <c r="L184" s="8"/>
      <c r="M184" s="13">
        <v>-5</v>
      </c>
      <c r="N184" s="8"/>
      <c r="O184" s="13">
        <v>175</v>
      </c>
      <c r="P184" s="8"/>
    </row>
    <row r="185" spans="1:16" s="12" customFormat="1" ht="22.9" customHeight="1">
      <c r="A185" s="13">
        <v>176</v>
      </c>
      <c r="B185" s="8" t="s">
        <v>219</v>
      </c>
      <c r="C185" s="14">
        <v>0.49199999999999999</v>
      </c>
      <c r="D185" s="8"/>
      <c r="E185" s="15">
        <v>66.535799999999995</v>
      </c>
      <c r="F185" s="8"/>
      <c r="G185" s="15">
        <v>8.0645246279999991</v>
      </c>
      <c r="H185" s="16" t="s">
        <v>28</v>
      </c>
      <c r="I185" s="15">
        <v>4.8872352000000001</v>
      </c>
      <c r="J185" s="16" t="s">
        <v>220</v>
      </c>
      <c r="K185" s="13">
        <v>1728.742667</v>
      </c>
      <c r="L185" s="16" t="s">
        <v>221</v>
      </c>
      <c r="M185" s="13">
        <v>3</v>
      </c>
      <c r="N185" s="8"/>
      <c r="O185" s="13">
        <v>176</v>
      </c>
      <c r="P185" s="8"/>
    </row>
    <row r="186" spans="1:16" s="12" customFormat="1" ht="22.9" customHeight="1">
      <c r="A186" s="13">
        <v>177</v>
      </c>
      <c r="B186" s="8" t="s">
        <v>222</v>
      </c>
      <c r="C186" s="14">
        <v>0.48299999999999998</v>
      </c>
      <c r="D186" s="8"/>
      <c r="E186" s="15">
        <v>59.652299999999997</v>
      </c>
      <c r="F186" s="8"/>
      <c r="G186" s="15">
        <v>10.61306278</v>
      </c>
      <c r="H186" s="16" t="s">
        <v>86</v>
      </c>
      <c r="I186" s="15">
        <v>3.5837189999999999</v>
      </c>
      <c r="J186" s="8"/>
      <c r="K186" s="13">
        <v>1908.2415900000001</v>
      </c>
      <c r="L186" s="8"/>
      <c r="M186" s="13">
        <v>0</v>
      </c>
      <c r="N186" s="8"/>
      <c r="O186" s="13">
        <v>177</v>
      </c>
      <c r="P186" s="8"/>
    </row>
    <row r="187" spans="1:16" s="12" customFormat="1" ht="22.9" customHeight="1">
      <c r="A187" s="13">
        <v>178</v>
      </c>
      <c r="B187" s="8" t="s">
        <v>223</v>
      </c>
      <c r="C187" s="14">
        <v>0.48099999999999998</v>
      </c>
      <c r="D187" s="8"/>
      <c r="E187" s="15">
        <v>60.747199999999999</v>
      </c>
      <c r="F187" s="8"/>
      <c r="G187" s="15">
        <v>10.42078972</v>
      </c>
      <c r="H187" s="8"/>
      <c r="I187" s="15">
        <v>5.0819999999999999</v>
      </c>
      <c r="J187" s="8"/>
      <c r="K187" s="13">
        <v>1288.74235</v>
      </c>
      <c r="L187" s="8"/>
      <c r="M187" s="13">
        <v>7</v>
      </c>
      <c r="N187" s="8"/>
      <c r="O187" s="13">
        <v>179</v>
      </c>
      <c r="P187" s="8"/>
    </row>
    <row r="188" spans="1:16" s="12" customFormat="1" ht="22.9" customHeight="1">
      <c r="A188" s="13">
        <v>179</v>
      </c>
      <c r="B188" s="8" t="s">
        <v>224</v>
      </c>
      <c r="C188" s="14">
        <v>0.47899999999999998</v>
      </c>
      <c r="D188" s="8"/>
      <c r="E188" s="15">
        <v>59.192999999999998</v>
      </c>
      <c r="F188" s="8"/>
      <c r="G188" s="15">
        <v>9.8178644510000002</v>
      </c>
      <c r="H188" s="16" t="s">
        <v>28</v>
      </c>
      <c r="I188" s="15">
        <v>7.0186965160000003</v>
      </c>
      <c r="J188" s="16" t="s">
        <v>86</v>
      </c>
      <c r="K188" s="13">
        <v>1076.0987809999999</v>
      </c>
      <c r="L188" s="8"/>
      <c r="M188" s="13">
        <v>9</v>
      </c>
      <c r="N188" s="8"/>
      <c r="O188" s="13">
        <v>180</v>
      </c>
      <c r="P188" s="8"/>
    </row>
    <row r="189" spans="1:16" s="12" customFormat="1" ht="22.9" customHeight="1">
      <c r="A189" s="13">
        <v>180</v>
      </c>
      <c r="B189" s="8" t="s">
        <v>225</v>
      </c>
      <c r="C189" s="14">
        <v>0.47799999999999998</v>
      </c>
      <c r="D189" s="8"/>
      <c r="E189" s="15">
        <v>61.982399999999998</v>
      </c>
      <c r="F189" s="8"/>
      <c r="G189" s="15">
        <v>10.263843980000001</v>
      </c>
      <c r="H189" s="16" t="s">
        <v>28</v>
      </c>
      <c r="I189" s="15">
        <v>2.98506999</v>
      </c>
      <c r="J189" s="8"/>
      <c r="K189" s="13">
        <v>1824.1909149999999</v>
      </c>
      <c r="L189" s="8"/>
      <c r="M189" s="13">
        <v>-2</v>
      </c>
      <c r="N189" s="8"/>
      <c r="O189" s="13">
        <v>177</v>
      </c>
      <c r="P189" s="8"/>
    </row>
    <row r="190" spans="1:16" s="12" customFormat="1" ht="22.9" customHeight="1">
      <c r="A190" s="13">
        <v>181</v>
      </c>
      <c r="B190" s="8" t="s">
        <v>226</v>
      </c>
      <c r="C190" s="14">
        <v>0.47699999999999998</v>
      </c>
      <c r="D190" s="8"/>
      <c r="E190" s="15">
        <v>60.062399999999997</v>
      </c>
      <c r="F190" s="8"/>
      <c r="G190" s="15">
        <v>9.5733910899999994</v>
      </c>
      <c r="H190" s="16" t="s">
        <v>86</v>
      </c>
      <c r="I190" s="15">
        <v>4.5760812849999999</v>
      </c>
      <c r="J190" s="16" t="s">
        <v>101</v>
      </c>
      <c r="K190" s="13">
        <v>1621.512579</v>
      </c>
      <c r="L190" s="8"/>
      <c r="M190" s="13">
        <v>-1</v>
      </c>
      <c r="N190" s="8"/>
      <c r="O190" s="13">
        <v>181</v>
      </c>
      <c r="P190" s="8"/>
    </row>
    <row r="191" spans="1:16" s="12" customFormat="1" ht="22.9" customHeight="1">
      <c r="A191" s="13">
        <v>182</v>
      </c>
      <c r="B191" s="8" t="s">
        <v>227</v>
      </c>
      <c r="C191" s="14">
        <v>0.46500000000000002</v>
      </c>
      <c r="D191" s="8"/>
      <c r="E191" s="15">
        <v>58.892200000000003</v>
      </c>
      <c r="F191" s="8"/>
      <c r="G191" s="15">
        <v>9.8052974650000007</v>
      </c>
      <c r="H191" s="16" t="s">
        <v>28</v>
      </c>
      <c r="I191" s="15">
        <v>2.2021259519999998</v>
      </c>
      <c r="J191" s="16" t="s">
        <v>28</v>
      </c>
      <c r="K191" s="13">
        <v>2480.8871819999999</v>
      </c>
      <c r="L191" s="8"/>
      <c r="M191" s="13">
        <v>-13</v>
      </c>
      <c r="N191" s="8"/>
      <c r="O191" s="13">
        <v>182</v>
      </c>
      <c r="P191" s="8"/>
    </row>
    <row r="192" spans="1:16" s="12" customFormat="1" ht="22.9" customHeight="1">
      <c r="A192" s="13">
        <v>183</v>
      </c>
      <c r="B192" s="8" t="s">
        <v>228</v>
      </c>
      <c r="C192" s="14">
        <v>0.45500000000000002</v>
      </c>
      <c r="D192" s="8"/>
      <c r="E192" s="15">
        <v>63.753399999999999</v>
      </c>
      <c r="F192" s="8"/>
      <c r="G192" s="15">
        <v>9.0987100600000002</v>
      </c>
      <c r="H192" s="8"/>
      <c r="I192" s="15">
        <v>3.2</v>
      </c>
      <c r="J192" s="16" t="s">
        <v>182</v>
      </c>
      <c r="K192" s="13">
        <v>1314.2701890000001</v>
      </c>
      <c r="L192" s="8"/>
      <c r="M192" s="13">
        <v>1</v>
      </c>
      <c r="N192" s="8"/>
      <c r="O192" s="13">
        <v>183</v>
      </c>
      <c r="P192" s="8"/>
    </row>
    <row r="193" spans="1:16" s="12" customFormat="1" ht="22.9" customHeight="1">
      <c r="A193" s="13">
        <v>184</v>
      </c>
      <c r="B193" s="8" t="s">
        <v>229</v>
      </c>
      <c r="C193" s="14">
        <v>0.44900000000000001</v>
      </c>
      <c r="D193" s="8"/>
      <c r="E193" s="15">
        <v>59.269599999999997</v>
      </c>
      <c r="F193" s="8"/>
      <c r="G193" s="15">
        <v>9.1421003340000002</v>
      </c>
      <c r="H193" s="8"/>
      <c r="I193" s="15">
        <v>2.1149622589999999</v>
      </c>
      <c r="J193" s="16" t="s">
        <v>28</v>
      </c>
      <c r="K193" s="13">
        <v>2117.9159159999999</v>
      </c>
      <c r="L193" s="8"/>
      <c r="M193" s="13">
        <v>-8</v>
      </c>
      <c r="N193" s="8"/>
      <c r="O193" s="13">
        <v>185</v>
      </c>
      <c r="P193" s="8"/>
    </row>
    <row r="194" spans="1:16" s="12" customFormat="1" ht="22.9" customHeight="1">
      <c r="A194" s="13">
        <v>185</v>
      </c>
      <c r="B194" s="8" t="s">
        <v>230</v>
      </c>
      <c r="C194" s="14">
        <v>0.44600000000000001</v>
      </c>
      <c r="D194" s="8"/>
      <c r="E194" s="15">
        <v>59.3247</v>
      </c>
      <c r="F194" s="8"/>
      <c r="G194" s="15">
        <v>10.2191516</v>
      </c>
      <c r="H194" s="16" t="s">
        <v>28</v>
      </c>
      <c r="I194" s="15">
        <v>3.197641838</v>
      </c>
      <c r="J194" s="16" t="s">
        <v>28</v>
      </c>
      <c r="K194" s="13">
        <v>1198.073924</v>
      </c>
      <c r="L194" s="8"/>
      <c r="M194" s="13">
        <v>2</v>
      </c>
      <c r="N194" s="8"/>
      <c r="O194" s="13">
        <v>184</v>
      </c>
      <c r="P194" s="8"/>
    </row>
    <row r="195" spans="1:16" s="12" customFormat="1" ht="22.9" customHeight="1">
      <c r="A195" s="13">
        <v>186</v>
      </c>
      <c r="B195" s="8" t="s">
        <v>231</v>
      </c>
      <c r="C195" s="14">
        <v>0.42799999999999999</v>
      </c>
      <c r="D195" s="8"/>
      <c r="E195" s="15">
        <v>58.941400000000002</v>
      </c>
      <c r="F195" s="8"/>
      <c r="G195" s="15">
        <v>7.4230376170000003</v>
      </c>
      <c r="H195" s="16" t="s">
        <v>28</v>
      </c>
      <c r="I195" s="15">
        <v>2.31</v>
      </c>
      <c r="J195" s="8"/>
      <c r="K195" s="13">
        <v>2132.6294429999998</v>
      </c>
      <c r="L195" s="8"/>
      <c r="M195" s="13">
        <v>-11</v>
      </c>
      <c r="N195" s="8"/>
      <c r="O195" s="13">
        <v>186</v>
      </c>
      <c r="P195" s="8"/>
    </row>
    <row r="196" spans="1:16" s="12" customFormat="1" ht="22.9" customHeight="1">
      <c r="A196" s="13">
        <v>187</v>
      </c>
      <c r="B196" s="8" t="s">
        <v>232</v>
      </c>
      <c r="C196" s="14">
        <v>0.42599999999999999</v>
      </c>
      <c r="D196" s="8"/>
      <c r="E196" s="15">
        <v>61.662700000000001</v>
      </c>
      <c r="F196" s="8"/>
      <c r="G196" s="15">
        <v>10.722721890000001</v>
      </c>
      <c r="H196" s="16" t="s">
        <v>28</v>
      </c>
      <c r="I196" s="15">
        <v>3.1292668830000001</v>
      </c>
      <c r="J196" s="16" t="s">
        <v>28</v>
      </c>
      <c r="K196" s="13">
        <v>731.7867086</v>
      </c>
      <c r="L196" s="8"/>
      <c r="M196" s="13">
        <v>4</v>
      </c>
      <c r="N196" s="8"/>
      <c r="O196" s="13">
        <v>187</v>
      </c>
      <c r="P196" s="8"/>
    </row>
    <row r="197" spans="1:16" s="12" customFormat="1" ht="22.9" customHeight="1">
      <c r="A197" s="13">
        <v>188</v>
      </c>
      <c r="B197" s="8" t="s">
        <v>233</v>
      </c>
      <c r="C197" s="14">
        <v>0.40400000000000003</v>
      </c>
      <c r="D197" s="8"/>
      <c r="E197" s="15">
        <v>53.8947</v>
      </c>
      <c r="F197" s="8"/>
      <c r="G197" s="15">
        <v>8.0401717139999995</v>
      </c>
      <c r="H197" s="16" t="s">
        <v>28</v>
      </c>
      <c r="I197" s="15">
        <v>4.3339999999999996</v>
      </c>
      <c r="J197" s="8"/>
      <c r="K197" s="13">
        <v>966.05861070000003</v>
      </c>
      <c r="L197" s="8"/>
      <c r="M197" s="13">
        <v>1</v>
      </c>
      <c r="N197" s="8"/>
      <c r="O197" s="13">
        <v>188</v>
      </c>
      <c r="P197" s="8"/>
    </row>
    <row r="198" spans="1:16" s="12" customFormat="1" ht="22.9" customHeight="1">
      <c r="A198" s="13">
        <v>189</v>
      </c>
      <c r="B198" s="8" t="s">
        <v>234</v>
      </c>
      <c r="C198" s="14">
        <v>0.4</v>
      </c>
      <c r="D198" s="8"/>
      <c r="E198" s="15">
        <v>61.576300000000003</v>
      </c>
      <c r="F198" s="8"/>
      <c r="G198" s="15">
        <v>6.9571119880000003</v>
      </c>
      <c r="H198" s="16" t="s">
        <v>28</v>
      </c>
      <c r="I198" s="15">
        <v>2.1167172989999998</v>
      </c>
      <c r="J198" s="16" t="s">
        <v>101</v>
      </c>
      <c r="K198" s="13">
        <v>1239.8669359999999</v>
      </c>
      <c r="L198" s="8"/>
      <c r="M198" s="13">
        <v>-3</v>
      </c>
      <c r="N198" s="8"/>
      <c r="O198" s="13">
        <v>189</v>
      </c>
      <c r="P198" s="8"/>
    </row>
    <row r="199" spans="1:16" s="12" customFormat="1" ht="22.9" customHeight="1">
      <c r="A199" s="13">
        <v>190</v>
      </c>
      <c r="B199" s="8" t="s">
        <v>235</v>
      </c>
      <c r="C199" s="14">
        <v>0.39400000000000002</v>
      </c>
      <c r="D199" s="8"/>
      <c r="E199" s="15">
        <v>52.525399999999998</v>
      </c>
      <c r="F199" s="8"/>
      <c r="G199" s="15">
        <v>8.0359143339999992</v>
      </c>
      <c r="H199" s="16" t="s">
        <v>28</v>
      </c>
      <c r="I199" s="15">
        <v>2.5737742099999998</v>
      </c>
      <c r="J199" s="16" t="s">
        <v>178</v>
      </c>
      <c r="K199" s="13">
        <v>1364.1694170000001</v>
      </c>
      <c r="L199" s="8"/>
      <c r="M199" s="13">
        <v>-7</v>
      </c>
      <c r="N199" s="8"/>
      <c r="O199" s="13">
        <v>190</v>
      </c>
      <c r="P199" s="8"/>
    </row>
    <row r="200" spans="1:16" s="12" customFormat="1" ht="22.9" customHeight="1">
      <c r="A200" s="13">
        <v>191</v>
      </c>
      <c r="B200" s="8" t="s">
        <v>236</v>
      </c>
      <c r="C200" s="14">
        <v>0.38500000000000001</v>
      </c>
      <c r="D200" s="8"/>
      <c r="E200" s="15">
        <v>54.975200000000001</v>
      </c>
      <c r="F200" s="8"/>
      <c r="G200" s="15">
        <v>5.54251</v>
      </c>
      <c r="H200" s="16" t="s">
        <v>28</v>
      </c>
      <c r="I200" s="15">
        <v>5.7261400220000001</v>
      </c>
      <c r="J200" s="8"/>
      <c r="K200" s="13">
        <v>767.78700000000003</v>
      </c>
      <c r="L200" s="16" t="s">
        <v>237</v>
      </c>
      <c r="M200" s="13">
        <v>-1</v>
      </c>
      <c r="N200" s="8"/>
      <c r="O200" s="13">
        <v>191</v>
      </c>
      <c r="P200" s="8"/>
    </row>
    <row r="201" spans="1:16" s="12" customFormat="1" ht="22.9" customHeight="1">
      <c r="A201" s="8"/>
      <c r="B201" s="32" t="s">
        <v>238</v>
      </c>
      <c r="C201" s="32"/>
      <c r="D201" s="32"/>
      <c r="E201" s="32"/>
      <c r="F201" s="32"/>
      <c r="G201" s="32"/>
      <c r="H201" s="32"/>
      <c r="I201" s="32"/>
      <c r="J201" s="32"/>
      <c r="K201" s="32"/>
      <c r="L201" s="32"/>
      <c r="M201" s="32"/>
      <c r="N201" s="32"/>
      <c r="O201" s="32"/>
      <c r="P201" s="8"/>
    </row>
    <row r="202" spans="1:16" s="12" customFormat="1" ht="22.9" customHeight="1">
      <c r="A202" s="8"/>
      <c r="B202" s="8" t="s">
        <v>239</v>
      </c>
      <c r="C202" s="8" t="s">
        <v>240</v>
      </c>
      <c r="D202" s="8"/>
      <c r="E202" s="15">
        <v>73.284499999999994</v>
      </c>
      <c r="F202" s="8"/>
      <c r="G202" s="15">
        <v>10.78317</v>
      </c>
      <c r="H202" s="16" t="s">
        <v>115</v>
      </c>
      <c r="I202" s="8" t="s">
        <v>240</v>
      </c>
      <c r="J202" s="8"/>
      <c r="K202" s="8" t="s">
        <v>240</v>
      </c>
      <c r="L202" s="8"/>
      <c r="M202" s="8" t="s">
        <v>240</v>
      </c>
      <c r="N202" s="8"/>
      <c r="O202" s="8" t="s">
        <v>240</v>
      </c>
      <c r="P202" s="8"/>
    </row>
    <row r="203" spans="1:16" s="12" customFormat="1" ht="22.9" customHeight="1">
      <c r="A203" s="8"/>
      <c r="B203" s="8" t="s">
        <v>241</v>
      </c>
      <c r="C203" s="8" t="s">
        <v>240</v>
      </c>
      <c r="D203" s="8"/>
      <c r="E203" s="15">
        <v>85.946299999999994</v>
      </c>
      <c r="F203" s="8"/>
      <c r="G203" s="8" t="s">
        <v>240</v>
      </c>
      <c r="H203" s="8"/>
      <c r="I203" s="8" t="s">
        <v>240</v>
      </c>
      <c r="J203" s="8"/>
      <c r="K203" s="8" t="s">
        <v>240</v>
      </c>
      <c r="L203" s="8"/>
      <c r="M203" s="8" t="s">
        <v>240</v>
      </c>
      <c r="N203" s="8"/>
      <c r="O203" s="8" t="s">
        <v>240</v>
      </c>
      <c r="P203" s="8"/>
    </row>
    <row r="204" spans="1:16" s="12" customFormat="1" ht="22.9" customHeight="1">
      <c r="A204" s="8"/>
      <c r="B204" s="8" t="s">
        <v>242</v>
      </c>
      <c r="C204" s="8" t="s">
        <v>240</v>
      </c>
      <c r="D204" s="8"/>
      <c r="E204" s="15">
        <v>63.616999999999997</v>
      </c>
      <c r="F204" s="8"/>
      <c r="G204" s="15">
        <v>11.69042029</v>
      </c>
      <c r="H204" s="16" t="s">
        <v>28</v>
      </c>
      <c r="I204" s="8" t="s">
        <v>240</v>
      </c>
      <c r="J204" s="8"/>
      <c r="K204" s="13">
        <v>17729.740839999999</v>
      </c>
      <c r="L204" s="8"/>
      <c r="M204" s="8" t="s">
        <v>240</v>
      </c>
      <c r="N204" s="8"/>
      <c r="O204" s="8" t="s">
        <v>240</v>
      </c>
      <c r="P204" s="8"/>
    </row>
    <row r="205" spans="1:16" s="12" customFormat="1" ht="22.9" customHeight="1">
      <c r="A205" s="8"/>
      <c r="B205" s="8" t="s">
        <v>243</v>
      </c>
      <c r="C205" s="8" t="s">
        <v>240</v>
      </c>
      <c r="D205" s="8"/>
      <c r="E205" s="15">
        <v>55.280299999999997</v>
      </c>
      <c r="F205" s="8"/>
      <c r="G205" s="8" t="s">
        <v>240</v>
      </c>
      <c r="H205" s="8"/>
      <c r="I205" s="8" t="s">
        <v>240</v>
      </c>
      <c r="J205" s="8"/>
      <c r="K205" s="13">
        <v>1017.96785</v>
      </c>
      <c r="L205" s="8"/>
      <c r="M205" s="8" t="s">
        <v>240</v>
      </c>
      <c r="N205" s="8"/>
      <c r="O205" s="8" t="s">
        <v>240</v>
      </c>
      <c r="P205" s="8"/>
    </row>
    <row r="206" spans="1:16" s="12" customFormat="1" ht="22.9" customHeight="1">
      <c r="A206" s="8"/>
      <c r="B206" s="8"/>
      <c r="C206" s="8"/>
      <c r="D206" s="8"/>
      <c r="E206" s="15"/>
      <c r="F206" s="8"/>
      <c r="G206" s="8"/>
      <c r="H206" s="8"/>
      <c r="I206" s="8"/>
      <c r="J206" s="8"/>
      <c r="K206" s="13"/>
      <c r="L206" s="8"/>
      <c r="M206" s="8"/>
      <c r="N206" s="8"/>
      <c r="O206" s="8"/>
      <c r="P206" s="8"/>
    </row>
    <row r="207" spans="1:16" s="12" customFormat="1" ht="22.9" customHeight="1">
      <c r="A207" s="8"/>
      <c r="B207" s="28" t="s">
        <v>244</v>
      </c>
      <c r="C207" s="8"/>
      <c r="D207" s="8"/>
      <c r="E207" s="8"/>
      <c r="F207" s="8"/>
      <c r="G207" s="8"/>
      <c r="H207" s="8"/>
      <c r="I207" s="8"/>
      <c r="J207" s="8"/>
      <c r="K207" s="8"/>
      <c r="L207" s="8"/>
      <c r="M207" s="8"/>
      <c r="N207" s="8"/>
      <c r="O207" s="8"/>
      <c r="P207" s="8"/>
    </row>
    <row r="208" spans="1:16" s="12" customFormat="1" ht="22.9" customHeight="1">
      <c r="A208" s="8"/>
      <c r="B208" s="8" t="s">
        <v>245</v>
      </c>
      <c r="C208" s="14">
        <v>0.89600000000000002</v>
      </c>
      <c r="D208" s="8"/>
      <c r="E208" s="15">
        <v>78.521300914681802</v>
      </c>
      <c r="F208" s="8"/>
      <c r="G208" s="15">
        <v>16.506485072669488</v>
      </c>
      <c r="H208" s="8"/>
      <c r="I208" s="15">
        <v>12.323005868735741</v>
      </c>
      <c r="J208" s="8"/>
      <c r="K208" s="13">
        <v>43751.59645777088</v>
      </c>
      <c r="L208" s="8"/>
      <c r="M208" s="8" t="s">
        <v>246</v>
      </c>
      <c r="N208" s="8"/>
      <c r="O208" s="8" t="s">
        <v>246</v>
      </c>
      <c r="P208" s="8"/>
    </row>
    <row r="209" spans="1:16" s="12" customFormat="1" ht="22.9" customHeight="1">
      <c r="A209" s="8"/>
      <c r="B209" s="8" t="s">
        <v>247</v>
      </c>
      <c r="C209" s="14">
        <v>0.754</v>
      </c>
      <c r="D209" s="8"/>
      <c r="E209" s="15">
        <v>74.709093528975032</v>
      </c>
      <c r="F209" s="8"/>
      <c r="G209" s="15">
        <v>14.219287382915844</v>
      </c>
      <c r="H209" s="8"/>
      <c r="I209" s="15">
        <v>8.3270110563097024</v>
      </c>
      <c r="J209" s="8"/>
      <c r="K209" s="13">
        <v>15167.247710127374</v>
      </c>
      <c r="L209" s="8"/>
      <c r="M209" s="8" t="s">
        <v>246</v>
      </c>
      <c r="N209" s="8"/>
      <c r="O209" s="8" t="s">
        <v>246</v>
      </c>
      <c r="P209" s="8"/>
    </row>
    <row r="210" spans="1:16" s="12" customFormat="1" ht="22.9" customHeight="1">
      <c r="A210" s="8"/>
      <c r="B210" s="8" t="s">
        <v>248</v>
      </c>
      <c r="C210" s="14">
        <v>0.63600000000000001</v>
      </c>
      <c r="D210" s="8"/>
      <c r="E210" s="15">
        <v>67.438317701046657</v>
      </c>
      <c r="F210" s="8"/>
      <c r="G210" s="15">
        <v>11.944855109431737</v>
      </c>
      <c r="H210" s="8"/>
      <c r="I210" s="15">
        <v>6.8722567773648251</v>
      </c>
      <c r="J210" s="8"/>
      <c r="K210" s="13">
        <v>6353.4919645323826</v>
      </c>
      <c r="L210" s="8"/>
      <c r="M210" s="8" t="s">
        <v>246</v>
      </c>
      <c r="N210" s="8"/>
      <c r="O210" s="8" t="s">
        <v>246</v>
      </c>
      <c r="P210" s="8"/>
    </row>
    <row r="211" spans="1:16" s="12" customFormat="1" ht="22.9" customHeight="1">
      <c r="A211" s="8"/>
      <c r="B211" s="8" t="s">
        <v>249</v>
      </c>
      <c r="C211" s="14">
        <v>0.51800000000000002</v>
      </c>
      <c r="D211" s="8"/>
      <c r="E211" s="15">
        <v>61.310991043408528</v>
      </c>
      <c r="F211" s="8"/>
      <c r="G211" s="15">
        <v>9.4593566867985199</v>
      </c>
      <c r="H211" s="8"/>
      <c r="I211" s="15">
        <v>4.8602137453830485</v>
      </c>
      <c r="J211" s="8"/>
      <c r="K211" s="13">
        <v>3009.120912729737</v>
      </c>
      <c r="L211" s="8"/>
      <c r="M211" s="8" t="s">
        <v>246</v>
      </c>
      <c r="N211" s="8"/>
      <c r="O211" s="8" t="s">
        <v>246</v>
      </c>
      <c r="P211" s="8"/>
    </row>
    <row r="212" spans="1:16" s="12" customFormat="1" ht="22.9" customHeight="1">
      <c r="A212" s="8"/>
      <c r="B212" s="8"/>
      <c r="C212" s="14"/>
      <c r="D212" s="8"/>
      <c r="E212" s="15"/>
      <c r="F212" s="8"/>
      <c r="G212" s="15"/>
      <c r="H212" s="8"/>
      <c r="I212" s="15"/>
      <c r="J212" s="8"/>
      <c r="K212" s="13"/>
      <c r="L212" s="8"/>
      <c r="M212" s="8"/>
      <c r="N212" s="8"/>
      <c r="O212" s="8"/>
      <c r="P212" s="8"/>
    </row>
    <row r="213" spans="1:16" s="12" customFormat="1" ht="22.9" customHeight="1">
      <c r="A213" s="8"/>
      <c r="B213" s="2" t="s">
        <v>250</v>
      </c>
      <c r="C213" s="14">
        <v>0.68500000000000005</v>
      </c>
      <c r="D213" s="8"/>
      <c r="E213" s="15">
        <v>69.866725404177501</v>
      </c>
      <c r="F213" s="8"/>
      <c r="G213" s="15">
        <v>12.315912497098685</v>
      </c>
      <c r="H213" s="8"/>
      <c r="I213" s="15">
        <v>7.5459382148868954</v>
      </c>
      <c r="J213" s="8"/>
      <c r="K213" s="13">
        <v>10703.751014582542</v>
      </c>
      <c r="L213" s="8"/>
      <c r="M213" s="8" t="s">
        <v>246</v>
      </c>
      <c r="N213" s="8"/>
      <c r="O213" s="8" t="s">
        <v>246</v>
      </c>
      <c r="P213" s="8"/>
    </row>
    <row r="214" spans="1:16" s="12" customFormat="1" ht="22.9" customHeight="1">
      <c r="A214" s="8"/>
      <c r="B214" s="2"/>
      <c r="C214" s="14"/>
      <c r="D214" s="8"/>
      <c r="E214" s="15"/>
      <c r="F214" s="8"/>
      <c r="G214" s="15"/>
      <c r="H214" s="8"/>
      <c r="I214" s="15"/>
      <c r="J214" s="8"/>
      <c r="K214" s="13"/>
      <c r="L214" s="8"/>
      <c r="M214" s="8"/>
      <c r="N214" s="8"/>
      <c r="O214" s="8"/>
      <c r="P214" s="8"/>
    </row>
    <row r="215" spans="1:16" s="12" customFormat="1" ht="22.9" customHeight="1">
      <c r="A215" s="8"/>
      <c r="B215" s="28" t="s">
        <v>251</v>
      </c>
      <c r="C215" s="14"/>
      <c r="D215" s="8"/>
      <c r="E215" s="15"/>
      <c r="F215" s="8"/>
      <c r="G215" s="15"/>
      <c r="H215" s="8"/>
      <c r="I215" s="15"/>
      <c r="J215" s="8"/>
      <c r="K215" s="13"/>
      <c r="L215" s="8"/>
      <c r="M215" s="8"/>
      <c r="N215" s="8"/>
      <c r="O215" s="8"/>
      <c r="P215" s="8"/>
    </row>
    <row r="216" spans="1:16" s="12" customFormat="1" ht="22.9" customHeight="1">
      <c r="A216" s="8"/>
      <c r="B216" s="8" t="s">
        <v>252</v>
      </c>
      <c r="C216" s="14">
        <v>0.70799999999999996</v>
      </c>
      <c r="D216" s="8"/>
      <c r="E216" s="15">
        <v>70.895040085122091</v>
      </c>
      <c r="F216" s="8"/>
      <c r="G216" s="15">
        <v>12.353535429858999</v>
      </c>
      <c r="H216" s="8"/>
      <c r="I216" s="15">
        <v>8.0285497888939403</v>
      </c>
      <c r="J216" s="8"/>
      <c r="K216" s="13">
        <v>13500.556146491099</v>
      </c>
      <c r="L216" s="8"/>
      <c r="M216" s="8" t="s">
        <v>246</v>
      </c>
      <c r="N216" s="8"/>
      <c r="O216" s="8" t="s">
        <v>246</v>
      </c>
      <c r="P216" s="8"/>
    </row>
    <row r="217" spans="1:16" s="12" customFormat="1" ht="22.9" customHeight="1">
      <c r="A217" s="8"/>
      <c r="B217" s="8" t="s">
        <v>253</v>
      </c>
      <c r="C217" s="14">
        <v>0.749</v>
      </c>
      <c r="D217" s="8"/>
      <c r="E217" s="15">
        <v>75.579650057109362</v>
      </c>
      <c r="F217" s="8"/>
      <c r="G217" s="15">
        <v>13.816818479256558</v>
      </c>
      <c r="H217" s="8"/>
      <c r="I217" s="15">
        <v>7.8393292527229885</v>
      </c>
      <c r="J217" s="8"/>
      <c r="K217" s="13">
        <v>15580.436860442398</v>
      </c>
      <c r="L217" s="8"/>
      <c r="M217" s="8" t="s">
        <v>246</v>
      </c>
      <c r="N217" s="8"/>
      <c r="O217" s="8" t="s">
        <v>246</v>
      </c>
      <c r="P217" s="8"/>
    </row>
    <row r="218" spans="1:16" s="12" customFormat="1" ht="22.9" customHeight="1">
      <c r="A218" s="8"/>
      <c r="B218" s="8" t="s">
        <v>254</v>
      </c>
      <c r="C218" s="14">
        <v>0.79600000000000004</v>
      </c>
      <c r="D218" s="8"/>
      <c r="E218" s="15">
        <v>72.856525911496377</v>
      </c>
      <c r="F218" s="8"/>
      <c r="G218" s="15">
        <v>15.446545986886697</v>
      </c>
      <c r="H218" s="8"/>
      <c r="I218" s="15">
        <v>10.553922082535033</v>
      </c>
      <c r="J218" s="8"/>
      <c r="K218" s="13">
        <v>19351.837024293371</v>
      </c>
      <c r="L218" s="8"/>
      <c r="M218" s="8" t="s">
        <v>246</v>
      </c>
      <c r="N218" s="8"/>
      <c r="O218" s="8" t="s">
        <v>246</v>
      </c>
      <c r="P218" s="8"/>
    </row>
    <row r="219" spans="1:16" s="12" customFormat="1" ht="22.9" customHeight="1">
      <c r="A219" s="8"/>
      <c r="B219" s="8" t="s">
        <v>255</v>
      </c>
      <c r="C219" s="14">
        <v>0.754</v>
      </c>
      <c r="D219" s="8"/>
      <c r="E219" s="15">
        <v>72.099889843547004</v>
      </c>
      <c r="F219" s="8"/>
      <c r="G219" s="15">
        <v>14.767955584170231</v>
      </c>
      <c r="H219" s="8"/>
      <c r="I219" s="15">
        <v>8.9977003780260567</v>
      </c>
      <c r="J219" s="8"/>
      <c r="K219" s="13">
        <v>14520.661244684154</v>
      </c>
      <c r="L219" s="8"/>
      <c r="M219" s="8" t="s">
        <v>246</v>
      </c>
      <c r="N219" s="8"/>
      <c r="O219" s="8" t="s">
        <v>246</v>
      </c>
      <c r="P219" s="8"/>
    </row>
    <row r="220" spans="1:16" s="12" customFormat="1" ht="22.9" customHeight="1">
      <c r="A220" s="8"/>
      <c r="B220" s="8" t="s">
        <v>256</v>
      </c>
      <c r="C220" s="14">
        <v>0.63200000000000001</v>
      </c>
      <c r="D220" s="8"/>
      <c r="E220" s="15">
        <v>67.855530352353512</v>
      </c>
      <c r="F220" s="8"/>
      <c r="G220" s="15">
        <v>11.562208376162529</v>
      </c>
      <c r="H220" s="8"/>
      <c r="I220" s="15">
        <v>6.7103212469629634</v>
      </c>
      <c r="J220" s="8"/>
      <c r="K220" s="13">
        <v>6481.3931350831599</v>
      </c>
      <c r="L220" s="8"/>
      <c r="M220" s="8" t="s">
        <v>246</v>
      </c>
      <c r="N220" s="8"/>
      <c r="O220" s="8" t="s">
        <v>246</v>
      </c>
      <c r="P220" s="8"/>
    </row>
    <row r="221" spans="1:16" s="12" customFormat="1" ht="22.9" customHeight="1">
      <c r="A221" s="8"/>
      <c r="B221" s="8" t="s">
        <v>257</v>
      </c>
      <c r="C221" s="14">
        <v>0.54700000000000004</v>
      </c>
      <c r="D221" s="8"/>
      <c r="E221" s="15">
        <v>60.112466649445103</v>
      </c>
      <c r="F221" s="8"/>
      <c r="G221" s="15">
        <v>10.267338311219516</v>
      </c>
      <c r="H221" s="8"/>
      <c r="I221" s="15">
        <v>6.0016394223194887</v>
      </c>
      <c r="J221" s="8"/>
      <c r="K221" s="13">
        <v>3698.8689135895734</v>
      </c>
      <c r="L221" s="8"/>
      <c r="M221" s="8" t="s">
        <v>246</v>
      </c>
      <c r="N221" s="8"/>
      <c r="O221" s="8" t="s">
        <v>246</v>
      </c>
      <c r="P221" s="8"/>
    </row>
    <row r="222" spans="1:16" s="12" customFormat="1" ht="22.9" customHeight="1">
      <c r="A222" s="8"/>
      <c r="B222" s="8"/>
      <c r="C222" s="14"/>
      <c r="D222" s="8"/>
      <c r="E222" s="15"/>
      <c r="F222" s="8"/>
      <c r="G222" s="15"/>
      <c r="H222" s="8"/>
      <c r="I222" s="15"/>
      <c r="J222" s="8"/>
      <c r="K222" s="13"/>
      <c r="L222" s="8"/>
      <c r="M222" s="8"/>
      <c r="N222" s="8"/>
      <c r="O222" s="8"/>
      <c r="P222" s="8"/>
    </row>
    <row r="223" spans="1:16" s="12" customFormat="1" ht="22.9" customHeight="1">
      <c r="A223" s="8"/>
      <c r="B223" s="2" t="s">
        <v>258</v>
      </c>
      <c r="C223" s="14">
        <v>0.54</v>
      </c>
      <c r="D223" s="8"/>
      <c r="E223" s="15">
        <v>64.215856370333995</v>
      </c>
      <c r="F223" s="8"/>
      <c r="G223" s="15">
        <v>10.182658897530274</v>
      </c>
      <c r="H223" s="8"/>
      <c r="I223" s="15">
        <v>5.2153202770293463</v>
      </c>
      <c r="J223" s="8"/>
      <c r="K223" s="13">
        <v>2880.6524874332645</v>
      </c>
      <c r="L223" s="8"/>
      <c r="M223" s="8" t="s">
        <v>246</v>
      </c>
      <c r="N223" s="8"/>
      <c r="O223" s="8" t="s">
        <v>246</v>
      </c>
      <c r="P223" s="8"/>
    </row>
    <row r="224" spans="1:16" s="12" customFormat="1" ht="22.9" customHeight="1">
      <c r="A224" s="8"/>
      <c r="B224" s="28" t="s">
        <v>259</v>
      </c>
      <c r="C224" s="14">
        <v>0.73</v>
      </c>
      <c r="D224" s="8"/>
      <c r="E224" s="15">
        <v>70.325546852822058</v>
      </c>
      <c r="F224" s="8"/>
      <c r="G224" s="15">
        <v>12.422289314087532</v>
      </c>
      <c r="H224" s="8"/>
      <c r="I224" s="15">
        <v>9.0896402878350315</v>
      </c>
      <c r="J224" s="8"/>
      <c r="K224" s="13">
        <v>16782.329526842565</v>
      </c>
      <c r="L224" s="8"/>
      <c r="M224" s="8" t="s">
        <v>246</v>
      </c>
      <c r="N224" s="8"/>
      <c r="O224" s="8" t="s">
        <v>246</v>
      </c>
      <c r="P224" s="8"/>
    </row>
    <row r="225" spans="1:16" s="12" customFormat="1" ht="22.9" customHeight="1">
      <c r="A225" s="8"/>
      <c r="B225" s="28"/>
      <c r="C225" s="14"/>
      <c r="D225" s="8"/>
      <c r="E225" s="15"/>
      <c r="F225" s="8"/>
      <c r="G225" s="15"/>
      <c r="H225" s="8"/>
      <c r="I225" s="15"/>
      <c r="J225" s="8"/>
      <c r="K225" s="13"/>
      <c r="L225" s="8"/>
      <c r="M225" s="8"/>
      <c r="N225" s="8"/>
      <c r="O225" s="8"/>
      <c r="P225" s="8"/>
    </row>
    <row r="226" spans="1:16" s="12" customFormat="1" ht="22.9" customHeight="1">
      <c r="A226" s="8"/>
      <c r="B226" s="28" t="s">
        <v>260</v>
      </c>
      <c r="C226" s="14">
        <v>0.89900000000000002</v>
      </c>
      <c r="D226" s="8"/>
      <c r="E226" s="15">
        <v>78.987604673423988</v>
      </c>
      <c r="F226" s="8"/>
      <c r="G226" s="15">
        <v>16.459253248953651</v>
      </c>
      <c r="H226" s="8"/>
      <c r="I226" s="15">
        <v>12.267754718824452</v>
      </c>
      <c r="J226" s="8"/>
      <c r="K226" s="13">
        <v>45086.969066520527</v>
      </c>
      <c r="L226" s="8"/>
      <c r="M226" s="8" t="s">
        <v>246</v>
      </c>
      <c r="N226" s="8"/>
      <c r="O226" s="8" t="s">
        <v>246</v>
      </c>
      <c r="P226" s="8"/>
    </row>
    <row r="227" spans="1:16" s="12" customFormat="1" ht="22.9" customHeight="1">
      <c r="A227" s="8"/>
      <c r="B227" s="28"/>
      <c r="C227" s="14"/>
      <c r="D227" s="8"/>
      <c r="E227" s="15"/>
      <c r="F227" s="8"/>
      <c r="G227" s="15"/>
      <c r="H227" s="8"/>
      <c r="I227" s="15"/>
      <c r="J227" s="8"/>
      <c r="K227" s="13"/>
      <c r="L227" s="8"/>
      <c r="M227" s="8"/>
      <c r="N227" s="8"/>
      <c r="O227" s="8"/>
      <c r="P227" s="8"/>
    </row>
    <row r="228" spans="1:16" s="12" customFormat="1" ht="22.9" customHeight="1">
      <c r="A228" s="8"/>
      <c r="B228" s="2" t="s">
        <v>261</v>
      </c>
      <c r="C228" s="14">
        <v>0.73199999999999998</v>
      </c>
      <c r="D228" s="8"/>
      <c r="E228" s="15">
        <v>71.365464883125</v>
      </c>
      <c r="F228" s="8"/>
      <c r="G228" s="15">
        <v>12.78090659850435</v>
      </c>
      <c r="H228" s="8"/>
      <c r="I228" s="15">
        <v>8.6174607222280049</v>
      </c>
      <c r="J228" s="8"/>
      <c r="K228" s="13">
        <v>16752.082921546265</v>
      </c>
      <c r="L228" s="8"/>
      <c r="M228" s="8" t="s">
        <v>246</v>
      </c>
      <c r="N228" s="8"/>
      <c r="O228" s="8" t="s">
        <v>246</v>
      </c>
      <c r="P228" s="8"/>
    </row>
    <row r="229" spans="1:16">
      <c r="A229" s="27"/>
      <c r="B229" s="27"/>
      <c r="C229" s="27"/>
      <c r="D229" s="27"/>
      <c r="E229" s="27"/>
      <c r="F229" s="27"/>
      <c r="G229" s="27"/>
      <c r="H229" s="27"/>
      <c r="I229" s="27"/>
      <c r="J229" s="27"/>
      <c r="K229" s="27"/>
      <c r="L229" s="27"/>
      <c r="M229" s="27"/>
      <c r="N229" s="27"/>
      <c r="O229" s="27"/>
      <c r="P229" s="27"/>
    </row>
    <row r="230" spans="1:16">
      <c r="A230" s="27"/>
      <c r="B230" s="3" t="s">
        <v>262</v>
      </c>
      <c r="C230" s="27"/>
      <c r="D230" s="27"/>
      <c r="E230" s="27"/>
      <c r="F230" s="27"/>
      <c r="G230" s="27"/>
      <c r="H230" s="27"/>
      <c r="I230" s="27"/>
      <c r="J230" s="27"/>
      <c r="K230" s="27"/>
      <c r="L230" s="27"/>
      <c r="M230" s="27"/>
      <c r="N230" s="27"/>
      <c r="O230" s="27"/>
      <c r="P230" s="27"/>
    </row>
    <row r="231" spans="1:16" ht="25.9" customHeight="1">
      <c r="A231" s="27"/>
      <c r="B231" s="27" t="s">
        <v>263</v>
      </c>
      <c r="C231" s="27"/>
      <c r="D231" s="27"/>
      <c r="E231" s="27"/>
      <c r="F231" s="27"/>
      <c r="G231" s="27"/>
      <c r="H231" s="27"/>
      <c r="I231" s="27"/>
      <c r="J231" s="27"/>
      <c r="K231" s="27"/>
      <c r="L231" s="27"/>
      <c r="M231" s="27"/>
      <c r="N231" s="27"/>
      <c r="O231" s="27"/>
      <c r="P231" s="27"/>
    </row>
    <row r="232" spans="1:16" ht="25.9" customHeight="1">
      <c r="A232" s="27"/>
      <c r="B232" s="27" t="s">
        <v>264</v>
      </c>
      <c r="C232" s="27"/>
      <c r="D232" s="27"/>
      <c r="E232" s="27"/>
      <c r="F232" s="27"/>
      <c r="G232" s="27"/>
      <c r="H232" s="27"/>
      <c r="I232" s="27"/>
      <c r="J232" s="27"/>
      <c r="K232" s="27"/>
      <c r="L232" s="27"/>
      <c r="M232" s="27"/>
      <c r="N232" s="27"/>
      <c r="O232" s="27"/>
      <c r="P232" s="27"/>
    </row>
    <row r="233" spans="1:16" ht="25.9" customHeight="1">
      <c r="A233" s="27"/>
      <c r="B233" s="27" t="s">
        <v>265</v>
      </c>
      <c r="C233" s="27"/>
      <c r="D233" s="27"/>
      <c r="E233" s="27"/>
      <c r="F233" s="27"/>
      <c r="G233" s="27"/>
      <c r="H233" s="27"/>
      <c r="I233" s="27"/>
      <c r="J233" s="27"/>
      <c r="K233" s="27"/>
      <c r="L233" s="27"/>
      <c r="M233" s="27"/>
      <c r="N233" s="27"/>
      <c r="O233" s="27"/>
      <c r="P233" s="27"/>
    </row>
    <row r="234" spans="1:16" ht="25.9" customHeight="1">
      <c r="A234" s="27"/>
      <c r="B234" s="27" t="s">
        <v>266</v>
      </c>
      <c r="C234" s="27"/>
      <c r="D234" s="27"/>
      <c r="E234" s="27"/>
      <c r="F234" s="27"/>
      <c r="G234" s="27"/>
      <c r="H234" s="27"/>
      <c r="I234" s="27"/>
      <c r="J234" s="27"/>
      <c r="K234" s="27"/>
      <c r="L234" s="27"/>
      <c r="M234" s="27"/>
      <c r="N234" s="27"/>
      <c r="O234" s="27"/>
      <c r="P234" s="27"/>
    </row>
    <row r="235" spans="1:16" ht="25.9" customHeight="1">
      <c r="A235" s="27"/>
      <c r="B235" s="27" t="s">
        <v>267</v>
      </c>
      <c r="C235" s="27"/>
      <c r="D235" s="27"/>
      <c r="E235" s="27"/>
      <c r="F235" s="27"/>
      <c r="G235" s="27"/>
      <c r="H235" s="27"/>
      <c r="I235" s="27"/>
      <c r="J235" s="27"/>
      <c r="K235" s="27"/>
      <c r="L235" s="27"/>
      <c r="M235" s="27"/>
      <c r="N235" s="27"/>
      <c r="O235" s="27"/>
      <c r="P235" s="27"/>
    </row>
    <row r="236" spans="1:16" ht="25.9" customHeight="1">
      <c r="A236" s="27"/>
      <c r="B236" s="27" t="s">
        <v>268</v>
      </c>
      <c r="C236" s="27"/>
      <c r="D236" s="27"/>
      <c r="E236" s="27"/>
      <c r="F236" s="27"/>
      <c r="G236" s="27"/>
      <c r="H236" s="27"/>
      <c r="I236" s="27"/>
      <c r="J236" s="27"/>
      <c r="K236" s="27"/>
      <c r="L236" s="27"/>
      <c r="M236" s="27"/>
      <c r="N236" s="27"/>
      <c r="O236" s="27"/>
      <c r="P236" s="27"/>
    </row>
    <row r="237" spans="1:16" ht="25.9" customHeight="1">
      <c r="A237" s="27"/>
      <c r="B237" s="27" t="s">
        <v>269</v>
      </c>
      <c r="C237" s="27"/>
      <c r="D237" s="27"/>
      <c r="E237" s="27"/>
      <c r="F237" s="27"/>
      <c r="G237" s="27"/>
      <c r="H237" s="27"/>
      <c r="I237" s="27"/>
      <c r="J237" s="27"/>
      <c r="K237" s="27"/>
      <c r="L237" s="27"/>
      <c r="M237" s="27"/>
      <c r="N237" s="27"/>
      <c r="O237" s="27"/>
      <c r="P237" s="27"/>
    </row>
    <row r="238" spans="1:16" ht="25.9" customHeight="1">
      <c r="A238" s="27"/>
      <c r="B238" s="27" t="s">
        <v>270</v>
      </c>
      <c r="C238" s="27"/>
      <c r="D238" s="27"/>
      <c r="E238" s="27"/>
      <c r="F238" s="27"/>
      <c r="G238" s="27"/>
      <c r="H238" s="27"/>
      <c r="I238" s="27"/>
      <c r="J238" s="27"/>
      <c r="K238" s="27"/>
      <c r="L238" s="27"/>
      <c r="M238" s="27"/>
      <c r="N238" s="27"/>
      <c r="O238" s="27"/>
      <c r="P238" s="27"/>
    </row>
    <row r="239" spans="1:16" ht="25.9" customHeight="1">
      <c r="A239" s="27"/>
      <c r="B239" s="27" t="s">
        <v>271</v>
      </c>
      <c r="C239" s="27"/>
      <c r="D239" s="27"/>
      <c r="E239" s="27"/>
      <c r="F239" s="27"/>
      <c r="G239" s="27"/>
      <c r="H239" s="27"/>
      <c r="I239" s="27"/>
      <c r="J239" s="27"/>
      <c r="K239" s="27"/>
      <c r="L239" s="27"/>
      <c r="M239" s="27"/>
      <c r="N239" s="27"/>
      <c r="O239" s="27"/>
      <c r="P239" s="27"/>
    </row>
    <row r="240" spans="1:16" ht="25.9" customHeight="1">
      <c r="A240" s="27"/>
      <c r="B240" s="27" t="s">
        <v>272</v>
      </c>
      <c r="C240" s="27"/>
      <c r="D240" s="27"/>
      <c r="E240" s="27"/>
      <c r="F240" s="27"/>
      <c r="G240" s="27"/>
      <c r="H240" s="27"/>
      <c r="I240" s="27"/>
      <c r="J240" s="27"/>
      <c r="K240" s="27"/>
      <c r="L240" s="27"/>
      <c r="M240" s="27"/>
      <c r="N240" s="27"/>
      <c r="O240" s="27"/>
      <c r="P240" s="27"/>
    </row>
    <row r="241" spans="1:16" ht="25.9" customHeight="1">
      <c r="A241" s="27"/>
      <c r="B241" s="27" t="s">
        <v>273</v>
      </c>
      <c r="C241" s="27"/>
      <c r="D241" s="27"/>
      <c r="E241" s="27"/>
      <c r="F241" s="27"/>
      <c r="G241" s="27"/>
      <c r="H241" s="27"/>
      <c r="I241" s="27"/>
      <c r="J241" s="27"/>
      <c r="K241" s="27"/>
      <c r="L241" s="27"/>
      <c r="M241" s="27"/>
      <c r="N241" s="27"/>
      <c r="O241" s="27"/>
      <c r="P241" s="27"/>
    </row>
    <row r="242" spans="1:16" ht="25.9" customHeight="1">
      <c r="A242" s="27"/>
      <c r="B242" s="27" t="s">
        <v>274</v>
      </c>
      <c r="C242" s="27"/>
      <c r="D242" s="27"/>
      <c r="E242" s="27"/>
      <c r="F242" s="27"/>
      <c r="G242" s="27"/>
      <c r="H242" s="27"/>
      <c r="I242" s="27"/>
      <c r="J242" s="27"/>
      <c r="K242" s="27"/>
      <c r="L242" s="27"/>
      <c r="M242" s="27"/>
      <c r="N242" s="27"/>
      <c r="O242" s="27"/>
      <c r="P242" s="27"/>
    </row>
    <row r="243" spans="1:16" ht="25.9" customHeight="1">
      <c r="A243" s="27"/>
      <c r="B243" s="27" t="s">
        <v>275</v>
      </c>
      <c r="C243" s="27"/>
      <c r="D243" s="27"/>
      <c r="E243" s="27"/>
      <c r="F243" s="27"/>
      <c r="G243" s="27"/>
      <c r="H243" s="27"/>
      <c r="I243" s="27"/>
      <c r="J243" s="27"/>
      <c r="K243" s="27"/>
      <c r="L243" s="27"/>
      <c r="M243" s="27"/>
      <c r="N243" s="27"/>
      <c r="O243" s="27"/>
      <c r="P243" s="27"/>
    </row>
    <row r="244" spans="1:16" ht="25.9" customHeight="1">
      <c r="A244" s="27"/>
      <c r="B244" s="27" t="s">
        <v>276</v>
      </c>
      <c r="C244" s="27"/>
      <c r="D244" s="27"/>
      <c r="E244" s="27"/>
      <c r="F244" s="27"/>
      <c r="G244" s="27"/>
      <c r="H244" s="27"/>
      <c r="I244" s="27"/>
      <c r="J244" s="27"/>
      <c r="K244" s="27"/>
      <c r="L244" s="27"/>
      <c r="M244" s="27"/>
      <c r="N244" s="27"/>
      <c r="O244" s="27"/>
      <c r="P244" s="27"/>
    </row>
    <row r="245" spans="1:16" ht="25.9" customHeight="1">
      <c r="A245" s="27"/>
      <c r="B245" s="27" t="s">
        <v>277</v>
      </c>
      <c r="C245" s="27"/>
      <c r="D245" s="27"/>
      <c r="E245" s="27"/>
      <c r="F245" s="27"/>
      <c r="G245" s="27"/>
      <c r="H245" s="27"/>
      <c r="I245" s="27"/>
      <c r="J245" s="27"/>
      <c r="K245" s="27"/>
      <c r="L245" s="27"/>
      <c r="M245" s="27"/>
      <c r="N245" s="27"/>
      <c r="O245" s="27"/>
      <c r="P245" s="27"/>
    </row>
    <row r="246" spans="1:16" ht="25.9" customHeight="1">
      <c r="A246" s="27"/>
      <c r="B246" s="27" t="s">
        <v>278</v>
      </c>
      <c r="C246" s="27"/>
      <c r="D246" s="27"/>
      <c r="E246" s="27"/>
      <c r="F246" s="27"/>
      <c r="G246" s="27"/>
      <c r="H246" s="27"/>
      <c r="I246" s="27"/>
      <c r="J246" s="27"/>
      <c r="K246" s="27"/>
      <c r="L246" s="27"/>
      <c r="M246" s="27"/>
      <c r="N246" s="27"/>
      <c r="O246" s="27"/>
      <c r="P246" s="27"/>
    </row>
    <row r="247" spans="1:16" ht="25.9" customHeight="1">
      <c r="A247" s="27"/>
      <c r="B247" s="27" t="s">
        <v>279</v>
      </c>
      <c r="C247" s="27"/>
      <c r="D247" s="27"/>
      <c r="E247" s="27"/>
      <c r="F247" s="27"/>
      <c r="G247" s="27"/>
      <c r="H247" s="27"/>
      <c r="I247" s="27"/>
      <c r="J247" s="27"/>
      <c r="K247" s="27"/>
      <c r="L247" s="27"/>
      <c r="M247" s="27"/>
      <c r="N247" s="27"/>
      <c r="O247" s="27"/>
      <c r="P247" s="27"/>
    </row>
    <row r="248" spans="1:16" ht="25.9" customHeight="1">
      <c r="A248" s="27"/>
      <c r="B248" s="27" t="s">
        <v>280</v>
      </c>
      <c r="C248" s="27"/>
      <c r="D248" s="27"/>
      <c r="E248" s="27"/>
      <c r="F248" s="27"/>
      <c r="G248" s="27"/>
      <c r="H248" s="27"/>
      <c r="I248" s="27"/>
      <c r="J248" s="27"/>
      <c r="K248" s="27"/>
      <c r="L248" s="27"/>
      <c r="M248" s="27"/>
      <c r="N248" s="27"/>
      <c r="O248" s="27"/>
      <c r="P248" s="27"/>
    </row>
    <row r="249" spans="1:16" ht="25.9" customHeight="1">
      <c r="A249" s="27"/>
      <c r="B249" s="27" t="s">
        <v>281</v>
      </c>
      <c r="C249" s="27"/>
      <c r="D249" s="27"/>
      <c r="E249" s="27"/>
      <c r="F249" s="27"/>
      <c r="G249" s="27"/>
      <c r="H249" s="27"/>
      <c r="I249" s="27"/>
      <c r="J249" s="27"/>
      <c r="K249" s="27"/>
      <c r="L249" s="27"/>
      <c r="M249" s="27"/>
      <c r="N249" s="27"/>
      <c r="O249" s="27"/>
      <c r="P249" s="27"/>
    </row>
    <row r="250" spans="1:16" ht="25.9" customHeight="1">
      <c r="A250" s="27"/>
      <c r="B250" s="27" t="s">
        <v>282</v>
      </c>
      <c r="C250" s="27"/>
      <c r="D250" s="27"/>
      <c r="E250" s="27"/>
      <c r="F250" s="27"/>
      <c r="G250" s="27"/>
      <c r="H250" s="27"/>
      <c r="I250" s="27"/>
      <c r="J250" s="27"/>
      <c r="K250" s="27"/>
      <c r="L250" s="27"/>
      <c r="M250" s="27"/>
      <c r="N250" s="27"/>
      <c r="O250" s="27"/>
      <c r="P250" s="27"/>
    </row>
    <row r="251" spans="1:16" ht="25.9" customHeight="1">
      <c r="A251" s="27"/>
      <c r="B251" s="27" t="s">
        <v>283</v>
      </c>
      <c r="C251" s="27"/>
      <c r="D251" s="27"/>
      <c r="E251" s="27"/>
      <c r="F251" s="27"/>
      <c r="G251" s="27"/>
      <c r="H251" s="27"/>
      <c r="I251" s="27"/>
      <c r="J251" s="27"/>
      <c r="K251" s="27"/>
      <c r="L251" s="27"/>
      <c r="M251" s="27"/>
      <c r="N251" s="27"/>
      <c r="O251" s="27"/>
      <c r="P251" s="27"/>
    </row>
    <row r="252" spans="1:16" ht="25.9" customHeight="1">
      <c r="A252" s="27"/>
      <c r="B252" s="27" t="s">
        <v>284</v>
      </c>
      <c r="C252" s="27"/>
      <c r="D252" s="27"/>
      <c r="E252" s="27"/>
      <c r="F252" s="27"/>
      <c r="G252" s="27"/>
      <c r="H252" s="27"/>
      <c r="I252" s="27"/>
      <c r="J252" s="27"/>
      <c r="K252" s="27"/>
      <c r="L252" s="27"/>
      <c r="M252" s="27"/>
      <c r="N252" s="27"/>
      <c r="O252" s="27"/>
      <c r="P252" s="27"/>
    </row>
    <row r="253" spans="1:16" ht="25.9" customHeight="1">
      <c r="A253" s="27"/>
      <c r="B253" s="27" t="s">
        <v>285</v>
      </c>
      <c r="C253" s="27"/>
      <c r="D253" s="27"/>
      <c r="E253" s="27"/>
      <c r="F253" s="27"/>
      <c r="G253" s="27"/>
      <c r="H253" s="27"/>
      <c r="I253" s="27"/>
      <c r="J253" s="27"/>
      <c r="K253" s="27"/>
      <c r="L253" s="27"/>
      <c r="M253" s="27"/>
      <c r="N253" s="27"/>
      <c r="O253" s="27"/>
      <c r="P253" s="27"/>
    </row>
    <row r="254" spans="1:16" ht="25.9" customHeight="1">
      <c r="A254" s="27"/>
      <c r="B254" s="27" t="s">
        <v>286</v>
      </c>
      <c r="C254" s="27"/>
      <c r="D254" s="27"/>
      <c r="E254" s="27"/>
      <c r="F254" s="27"/>
      <c r="G254" s="27"/>
      <c r="H254" s="27"/>
      <c r="I254" s="27"/>
      <c r="J254" s="27"/>
      <c r="K254" s="27"/>
      <c r="L254" s="27"/>
      <c r="M254" s="27"/>
      <c r="N254" s="27"/>
      <c r="O254" s="27"/>
      <c r="P254" s="27"/>
    </row>
    <row r="255" spans="1:16" ht="25.9" customHeight="1">
      <c r="A255" s="27"/>
      <c r="B255" s="27" t="s">
        <v>287</v>
      </c>
      <c r="C255" s="27"/>
      <c r="D255" s="27"/>
      <c r="E255" s="27"/>
      <c r="F255" s="27"/>
      <c r="G255" s="27"/>
      <c r="H255" s="27"/>
      <c r="I255" s="27"/>
      <c r="J255" s="27"/>
      <c r="K255" s="27"/>
      <c r="L255" s="27"/>
      <c r="M255" s="27"/>
      <c r="N255" s="27"/>
      <c r="O255" s="27"/>
      <c r="P255" s="27"/>
    </row>
    <row r="256" spans="1:16" ht="25.9" customHeight="1">
      <c r="A256" s="27"/>
      <c r="B256" s="27" t="s">
        <v>288</v>
      </c>
      <c r="C256" s="27"/>
      <c r="D256" s="27"/>
      <c r="E256" s="27"/>
      <c r="F256" s="27"/>
      <c r="G256" s="27"/>
      <c r="H256" s="27"/>
      <c r="I256" s="27"/>
      <c r="J256" s="27"/>
      <c r="K256" s="27"/>
      <c r="L256" s="27"/>
      <c r="M256" s="27"/>
      <c r="N256" s="27"/>
      <c r="O256" s="27"/>
      <c r="P256" s="27"/>
    </row>
    <row r="257" spans="1:16" ht="25.9" customHeight="1">
      <c r="A257" s="27"/>
      <c r="B257" s="27" t="s">
        <v>289</v>
      </c>
      <c r="C257" s="27"/>
      <c r="D257" s="27"/>
      <c r="E257" s="27"/>
      <c r="F257" s="27"/>
      <c r="G257" s="27"/>
      <c r="H257" s="27"/>
      <c r="I257" s="27"/>
      <c r="J257" s="27"/>
      <c r="K257" s="27"/>
      <c r="L257" s="27"/>
      <c r="M257" s="27"/>
      <c r="N257" s="27"/>
      <c r="O257" s="27"/>
      <c r="P257" s="27"/>
    </row>
    <row r="258" spans="1:16">
      <c r="A258" s="27"/>
      <c r="B258" s="27"/>
      <c r="C258" s="27"/>
      <c r="D258" s="27"/>
      <c r="E258" s="27"/>
      <c r="F258" s="27"/>
      <c r="G258" s="27"/>
      <c r="H258" s="27"/>
      <c r="I258" s="27"/>
      <c r="J258" s="27"/>
      <c r="K258" s="27"/>
      <c r="L258" s="27"/>
      <c r="M258" s="27"/>
      <c r="N258" s="27"/>
      <c r="O258" s="27"/>
      <c r="P258" s="27"/>
    </row>
    <row r="259" spans="1:16">
      <c r="A259" s="27"/>
      <c r="B259" s="27"/>
      <c r="C259" s="27"/>
      <c r="D259" s="27"/>
      <c r="E259" s="27"/>
      <c r="F259" s="27"/>
      <c r="G259" s="27"/>
      <c r="H259" s="27"/>
      <c r="I259" s="27"/>
      <c r="J259" s="27"/>
      <c r="K259" s="27"/>
      <c r="L259" s="27"/>
      <c r="M259" s="27"/>
      <c r="N259" s="27"/>
      <c r="O259" s="27"/>
      <c r="P259" s="27"/>
    </row>
    <row r="260" spans="1:16">
      <c r="A260" s="27"/>
      <c r="B260" s="17" t="s">
        <v>290</v>
      </c>
      <c r="C260" s="27"/>
      <c r="D260" s="27"/>
      <c r="E260" s="27"/>
      <c r="F260" s="27"/>
      <c r="G260" s="27"/>
      <c r="H260" s="27"/>
      <c r="I260" s="27"/>
      <c r="J260" s="27"/>
      <c r="K260" s="27"/>
      <c r="L260" s="27"/>
      <c r="M260" s="27"/>
      <c r="N260" s="27"/>
      <c r="O260" s="27"/>
      <c r="P260" s="27"/>
    </row>
    <row r="261" spans="1:16" ht="28.5" customHeight="1">
      <c r="A261" s="27"/>
      <c r="B261" s="31" t="s">
        <v>291</v>
      </c>
      <c r="C261" s="31"/>
      <c r="D261" s="31"/>
      <c r="E261" s="31"/>
      <c r="F261" s="31"/>
      <c r="G261" s="31"/>
      <c r="H261" s="31"/>
      <c r="I261" s="31"/>
      <c r="J261" s="31"/>
      <c r="K261" s="31"/>
      <c r="L261" s="31"/>
      <c r="M261" s="31"/>
      <c r="N261" s="31"/>
      <c r="O261" s="31"/>
      <c r="P261" s="27"/>
    </row>
    <row r="262" spans="1:16" ht="20.65" customHeight="1">
      <c r="A262" s="27"/>
      <c r="B262" s="33" t="s">
        <v>292</v>
      </c>
      <c r="C262" s="33"/>
      <c r="D262" s="33"/>
      <c r="E262" s="33"/>
      <c r="F262" s="33"/>
      <c r="G262" s="33"/>
      <c r="H262" s="33"/>
      <c r="I262" s="33"/>
      <c r="J262" s="33"/>
      <c r="K262" s="33"/>
      <c r="L262" s="33"/>
      <c r="M262" s="33"/>
      <c r="N262" s="33"/>
      <c r="O262" s="33"/>
      <c r="P262" s="27"/>
    </row>
    <row r="263" spans="1:16" ht="20.65" customHeight="1">
      <c r="A263" s="27"/>
      <c r="B263" s="33" t="s">
        <v>293</v>
      </c>
      <c r="C263" s="33"/>
      <c r="D263" s="33"/>
      <c r="E263" s="33"/>
      <c r="F263" s="33"/>
      <c r="G263" s="33"/>
      <c r="H263" s="33"/>
      <c r="I263" s="33"/>
      <c r="J263" s="33"/>
      <c r="K263" s="33"/>
      <c r="L263" s="33"/>
      <c r="M263" s="33"/>
      <c r="N263" s="33"/>
      <c r="O263" s="33"/>
      <c r="P263" s="27"/>
    </row>
    <row r="264" spans="1:16" ht="20.65" customHeight="1">
      <c r="A264" s="27"/>
      <c r="B264" s="33" t="s">
        <v>294</v>
      </c>
      <c r="C264" s="33"/>
      <c r="D264" s="33"/>
      <c r="E264" s="33"/>
      <c r="F264" s="33"/>
      <c r="G264" s="33"/>
      <c r="H264" s="33"/>
      <c r="I264" s="33"/>
      <c r="J264" s="33"/>
      <c r="K264" s="33"/>
      <c r="L264" s="33"/>
      <c r="M264" s="33"/>
      <c r="N264" s="33"/>
      <c r="O264" s="33"/>
      <c r="P264" s="27"/>
    </row>
    <row r="265" spans="1:16" ht="20.65" customHeight="1">
      <c r="A265" s="27"/>
      <c r="B265" s="33" t="s">
        <v>295</v>
      </c>
      <c r="C265" s="33"/>
      <c r="D265" s="33"/>
      <c r="E265" s="33"/>
      <c r="F265" s="33"/>
      <c r="G265" s="33"/>
      <c r="H265" s="33"/>
      <c r="I265" s="33"/>
      <c r="J265" s="33"/>
      <c r="K265" s="33"/>
      <c r="L265" s="33"/>
      <c r="M265" s="33"/>
      <c r="N265" s="33"/>
      <c r="O265" s="33"/>
      <c r="P265" s="27"/>
    </row>
    <row r="266" spans="1:16" ht="20.65" customHeight="1">
      <c r="A266" s="27"/>
      <c r="B266" s="33" t="s">
        <v>296</v>
      </c>
      <c r="C266" s="33"/>
      <c r="D266" s="33"/>
      <c r="E266" s="33"/>
      <c r="F266" s="33"/>
      <c r="G266" s="33"/>
      <c r="H266" s="33"/>
      <c r="I266" s="33"/>
      <c r="J266" s="33"/>
      <c r="K266" s="33"/>
      <c r="L266" s="33"/>
      <c r="M266" s="33"/>
      <c r="N266" s="33"/>
      <c r="O266" s="33"/>
      <c r="P266" s="27"/>
    </row>
    <row r="267" spans="1:16" ht="20.65" customHeight="1">
      <c r="A267" s="27"/>
      <c r="B267" s="33" t="s">
        <v>297</v>
      </c>
      <c r="C267" s="33"/>
      <c r="D267" s="33"/>
      <c r="E267" s="33"/>
      <c r="F267" s="33"/>
      <c r="G267" s="33"/>
      <c r="H267" s="33"/>
      <c r="I267" s="33"/>
      <c r="J267" s="33"/>
      <c r="K267" s="33"/>
      <c r="L267" s="33"/>
      <c r="M267" s="33"/>
      <c r="N267" s="33"/>
      <c r="O267" s="33"/>
      <c r="P267" s="27"/>
    </row>
    <row r="268" spans="1:16">
      <c r="A268" s="27"/>
      <c r="B268" s="27"/>
      <c r="C268" s="27"/>
      <c r="D268" s="27"/>
      <c r="E268" s="27"/>
      <c r="F268" s="27"/>
      <c r="G268" s="27"/>
      <c r="H268" s="27"/>
      <c r="I268" s="27"/>
      <c r="J268" s="27"/>
      <c r="K268" s="27"/>
      <c r="L268" s="27"/>
      <c r="M268" s="27"/>
      <c r="N268" s="27"/>
      <c r="O268" s="27"/>
      <c r="P268" s="27"/>
    </row>
    <row r="269" spans="1:16">
      <c r="A269" s="27"/>
      <c r="B269" s="17" t="s">
        <v>298</v>
      </c>
      <c r="C269" s="27"/>
      <c r="D269" s="27"/>
      <c r="E269" s="27"/>
      <c r="F269" s="27"/>
      <c r="G269" s="27"/>
      <c r="H269" s="27"/>
      <c r="I269" s="27"/>
      <c r="J269" s="27"/>
      <c r="K269" s="27"/>
      <c r="L269" s="27"/>
      <c r="M269" s="27"/>
      <c r="N269" s="27"/>
      <c r="O269" s="27"/>
      <c r="P269" s="27"/>
    </row>
    <row r="270" spans="1:16" ht="20.65" customHeight="1">
      <c r="A270" s="27"/>
      <c r="B270" s="33" t="s">
        <v>299</v>
      </c>
      <c r="C270" s="33"/>
      <c r="D270" s="33"/>
      <c r="E270" s="33"/>
      <c r="F270" s="33"/>
      <c r="G270" s="33"/>
      <c r="H270" s="33"/>
      <c r="I270" s="33"/>
      <c r="J270" s="33"/>
      <c r="K270" s="33"/>
      <c r="L270" s="33"/>
      <c r="M270" s="33"/>
      <c r="N270" s="33"/>
      <c r="O270" s="33"/>
      <c r="P270" s="27"/>
    </row>
    <row r="271" spans="1:16" ht="20.65" customHeight="1">
      <c r="A271" s="27"/>
      <c r="B271" s="33" t="s">
        <v>300</v>
      </c>
      <c r="C271" s="33"/>
      <c r="D271" s="33"/>
      <c r="E271" s="33"/>
      <c r="F271" s="33"/>
      <c r="G271" s="33"/>
      <c r="H271" s="33"/>
      <c r="I271" s="33"/>
      <c r="J271" s="33"/>
      <c r="K271" s="33"/>
      <c r="L271" s="33"/>
      <c r="M271" s="33"/>
      <c r="N271" s="33"/>
      <c r="O271" s="33"/>
      <c r="P271" s="27"/>
    </row>
    <row r="272" spans="1:16" ht="20.65" customHeight="1">
      <c r="A272" s="27"/>
      <c r="B272" s="33" t="s">
        <v>301</v>
      </c>
      <c r="C272" s="33"/>
      <c r="D272" s="33"/>
      <c r="E272" s="33"/>
      <c r="F272" s="33"/>
      <c r="G272" s="33"/>
      <c r="H272" s="33"/>
      <c r="I272" s="33"/>
      <c r="J272" s="33"/>
      <c r="K272" s="33"/>
      <c r="L272" s="33"/>
      <c r="M272" s="33"/>
      <c r="N272" s="33"/>
      <c r="O272" s="33"/>
      <c r="P272" s="27"/>
    </row>
    <row r="273" spans="1:16" ht="20.65" customHeight="1">
      <c r="A273" s="27"/>
      <c r="B273" s="33" t="s">
        <v>302</v>
      </c>
      <c r="C273" s="33"/>
      <c r="D273" s="33"/>
      <c r="E273" s="33"/>
      <c r="F273" s="33"/>
      <c r="G273" s="33"/>
      <c r="H273" s="33"/>
      <c r="I273" s="33"/>
      <c r="J273" s="33"/>
      <c r="K273" s="33"/>
      <c r="L273" s="33"/>
      <c r="M273" s="33"/>
      <c r="N273" s="33"/>
      <c r="O273" s="33"/>
      <c r="P273" s="27"/>
    </row>
    <row r="274" spans="1:16" ht="20.65" customHeight="1">
      <c r="A274" s="27"/>
      <c r="B274" s="33" t="s">
        <v>303</v>
      </c>
      <c r="C274" s="33"/>
      <c r="D274" s="33"/>
      <c r="E274" s="33"/>
      <c r="F274" s="33"/>
      <c r="G274" s="33"/>
      <c r="H274" s="33"/>
      <c r="I274" s="33"/>
      <c r="J274" s="33"/>
      <c r="K274" s="33"/>
      <c r="L274" s="33"/>
      <c r="M274" s="33"/>
      <c r="N274" s="33"/>
      <c r="O274" s="33"/>
      <c r="P274" s="27"/>
    </row>
    <row r="275" spans="1:16" ht="20.65" customHeight="1">
      <c r="A275" s="27"/>
      <c r="B275" s="33" t="s">
        <v>304</v>
      </c>
      <c r="C275" s="33"/>
      <c r="D275" s="33"/>
      <c r="E275" s="33"/>
      <c r="F275" s="33"/>
      <c r="G275" s="33"/>
      <c r="H275" s="33"/>
      <c r="I275" s="33"/>
      <c r="J275" s="33"/>
      <c r="K275" s="33"/>
      <c r="L275" s="33"/>
      <c r="M275" s="33"/>
      <c r="N275" s="33"/>
      <c r="O275" s="33"/>
      <c r="P275" s="27"/>
    </row>
    <row r="276" spans="1:16">
      <c r="A276" s="27"/>
      <c r="B276" s="27"/>
      <c r="C276" s="27"/>
      <c r="D276" s="27"/>
      <c r="E276" s="27"/>
      <c r="F276" s="27"/>
      <c r="G276" s="27"/>
      <c r="H276" s="27"/>
      <c r="I276" s="27"/>
      <c r="J276" s="27"/>
      <c r="K276" s="27"/>
      <c r="L276" s="27"/>
      <c r="M276" s="27"/>
      <c r="N276" s="27"/>
      <c r="O276" s="27"/>
      <c r="P276" s="27"/>
    </row>
  </sheetData>
  <mergeCells count="18">
    <mergeCell ref="B275:O275"/>
    <mergeCell ref="B262:O262"/>
    <mergeCell ref="B263:O263"/>
    <mergeCell ref="B264:O264"/>
    <mergeCell ref="B265:O265"/>
    <mergeCell ref="B266:O266"/>
    <mergeCell ref="B267:O267"/>
    <mergeCell ref="B270:O270"/>
    <mergeCell ref="B271:O271"/>
    <mergeCell ref="B272:O272"/>
    <mergeCell ref="B273:O273"/>
    <mergeCell ref="B274:O274"/>
    <mergeCell ref="B261:O261"/>
    <mergeCell ref="B6:O6"/>
    <mergeCell ref="B73:O73"/>
    <mergeCell ref="B123:O123"/>
    <mergeCell ref="B168:O168"/>
    <mergeCell ref="B201:O20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4AC8-1857-419A-88E9-1CABD2BD9AF7}">
  <dimension ref="A1:J269"/>
  <sheetViews>
    <sheetView topLeftCell="A5" zoomScale="86" workbookViewId="0">
      <selection activeCell="E9" sqref="E9"/>
    </sheetView>
  </sheetViews>
  <sheetFormatPr defaultColWidth="8.7109375" defaultRowHeight="11.45"/>
  <cols>
    <col min="1" max="1" width="13.7109375" style="5" customWidth="1"/>
    <col min="2" max="2" width="44.7109375" style="5" customWidth="1"/>
    <col min="3" max="3" width="19" style="5" customWidth="1"/>
    <col min="4" max="4" width="23.5703125" style="5" customWidth="1"/>
    <col min="5" max="5" width="22.140625" style="5" customWidth="1"/>
    <col min="6" max="6" width="30.42578125" style="5" customWidth="1"/>
    <col min="7" max="7" width="32.7109375" style="5" customWidth="1"/>
    <col min="8" max="8" width="21.85546875" style="5" customWidth="1"/>
    <col min="9" max="9" width="14.140625" style="5" customWidth="1"/>
    <col min="10" max="10" width="37.85546875" style="24" customWidth="1"/>
    <col min="11" max="16384" width="8.7109375" style="5"/>
  </cols>
  <sheetData>
    <row r="1" spans="1:10">
      <c r="A1" s="27"/>
      <c r="B1" s="27"/>
      <c r="C1" s="27"/>
      <c r="D1" s="4"/>
      <c r="E1" s="4"/>
      <c r="F1" s="4"/>
      <c r="G1" s="4"/>
      <c r="H1" s="27"/>
      <c r="I1" s="27"/>
      <c r="J1" s="21"/>
    </row>
    <row r="2" spans="1:10" ht="22.9">
      <c r="A2" s="9" t="s">
        <v>305</v>
      </c>
      <c r="B2" s="9" t="s">
        <v>11</v>
      </c>
      <c r="C2" s="7" t="s">
        <v>4</v>
      </c>
      <c r="D2" s="7" t="s">
        <v>5</v>
      </c>
      <c r="E2" s="7" t="s">
        <v>6</v>
      </c>
      <c r="F2" s="7" t="s">
        <v>7</v>
      </c>
      <c r="G2" s="7" t="s">
        <v>8</v>
      </c>
      <c r="H2" s="7" t="s">
        <v>9</v>
      </c>
      <c r="I2" s="7" t="s">
        <v>306</v>
      </c>
      <c r="J2" s="22" t="s">
        <v>307</v>
      </c>
    </row>
    <row r="3" spans="1:10" s="12" customFormat="1" ht="22.9" customHeight="1">
      <c r="A3" s="13">
        <v>1</v>
      </c>
      <c r="B3" s="8" t="s">
        <v>18</v>
      </c>
      <c r="C3" s="14">
        <v>0.96199999999999997</v>
      </c>
      <c r="D3" s="15">
        <v>83.987200000000001</v>
      </c>
      <c r="E3" s="15">
        <v>16.50029945</v>
      </c>
      <c r="F3" s="15">
        <v>13.85966015</v>
      </c>
      <c r="G3" s="13">
        <v>66933.004539999994</v>
      </c>
      <c r="H3" s="13">
        <v>5</v>
      </c>
      <c r="I3" s="13">
        <v>3</v>
      </c>
      <c r="J3" s="23" t="str">
        <f>IF(A3&gt;159,"LOW HUMAN DEVELOPMENT",IF(A3&gt;115,"MEDIUM HUMAN DEVELOPMENT",IF(A3&gt;=67,"HIGH HUMAN DEVELOPMENT",IF(A3&lt;67,"VERY HIGH HUMAN DEVELOPMENT","Invalid"))))</f>
        <v>VERY HIGH HUMAN DEVELOPMENT</v>
      </c>
    </row>
    <row r="4" spans="1:10" s="12" customFormat="1" ht="22.9" customHeight="1">
      <c r="A4" s="13">
        <v>2</v>
      </c>
      <c r="B4" s="8" t="s">
        <v>19</v>
      </c>
      <c r="C4" s="14">
        <v>0.96099999999999997</v>
      </c>
      <c r="D4" s="15">
        <v>83.233900000000006</v>
      </c>
      <c r="E4" s="15">
        <v>18.185199740000002</v>
      </c>
      <c r="F4" s="15">
        <v>13.00362968</v>
      </c>
      <c r="G4" s="13">
        <v>64660.106220000001</v>
      </c>
      <c r="H4" s="13">
        <v>6</v>
      </c>
      <c r="I4" s="13">
        <v>1</v>
      </c>
      <c r="J4" s="23" t="str">
        <f t="shared" ref="J4:J67" si="0">IF(A4&gt;159,"LOW HUMAN DEVELOPMENT",IF(A4&gt;115,"MEDIUM HUMAN DEVELOPMENT",IF(A4&gt;=67,"HIGH HUMAN DEVELOPMENT",IF(A4&lt;67,"VERY HIGH HUMAN DEVELOPMENT","Invalid"))))</f>
        <v>VERY HIGH HUMAN DEVELOPMENT</v>
      </c>
    </row>
    <row r="5" spans="1:10" s="12" customFormat="1" ht="22.9" customHeight="1">
      <c r="A5" s="13">
        <v>3</v>
      </c>
      <c r="B5" s="8" t="s">
        <v>21</v>
      </c>
      <c r="C5" s="14">
        <v>0.95899999999999996</v>
      </c>
      <c r="D5" s="15">
        <v>82.678200000000004</v>
      </c>
      <c r="E5" s="15">
        <v>19.163059230000002</v>
      </c>
      <c r="F5" s="15">
        <v>13.76716995</v>
      </c>
      <c r="G5" s="13">
        <v>55782.049809999997</v>
      </c>
      <c r="H5" s="13">
        <v>11</v>
      </c>
      <c r="I5" s="13">
        <v>2</v>
      </c>
      <c r="J5" s="23" t="str">
        <f t="shared" si="0"/>
        <v>VERY HIGH HUMAN DEVELOPMENT</v>
      </c>
    </row>
    <row r="6" spans="1:10" s="12" customFormat="1" ht="22.9" customHeight="1">
      <c r="A6" s="13">
        <v>4</v>
      </c>
      <c r="B6" s="8" t="s">
        <v>22</v>
      </c>
      <c r="C6" s="14">
        <v>0.95199999999999996</v>
      </c>
      <c r="D6" s="15">
        <v>85.473399999999998</v>
      </c>
      <c r="E6" s="15">
        <v>17.278169630000001</v>
      </c>
      <c r="F6" s="15">
        <v>12.22620964</v>
      </c>
      <c r="G6" s="13">
        <v>62606.845399999998</v>
      </c>
      <c r="H6" s="13">
        <v>6</v>
      </c>
      <c r="I6" s="13">
        <v>4</v>
      </c>
      <c r="J6" s="23" t="str">
        <f t="shared" si="0"/>
        <v>VERY HIGH HUMAN DEVELOPMENT</v>
      </c>
    </row>
    <row r="7" spans="1:10" s="12" customFormat="1" ht="22.9" customHeight="1">
      <c r="A7" s="13">
        <v>5</v>
      </c>
      <c r="B7" s="8" t="s">
        <v>24</v>
      </c>
      <c r="C7" s="14">
        <v>0.95099999999999996</v>
      </c>
      <c r="D7" s="15">
        <v>84.526499999999999</v>
      </c>
      <c r="E7" s="15">
        <v>21.054590229999999</v>
      </c>
      <c r="F7" s="15">
        <v>12.726819989999999</v>
      </c>
      <c r="G7" s="13">
        <v>49238.433349999999</v>
      </c>
      <c r="H7" s="13">
        <v>18</v>
      </c>
      <c r="I7" s="13">
        <v>5</v>
      </c>
      <c r="J7" s="23" t="str">
        <f t="shared" si="0"/>
        <v>VERY HIGH HUMAN DEVELOPMENT</v>
      </c>
    </row>
    <row r="8" spans="1:10" s="12" customFormat="1" ht="22.9" customHeight="1">
      <c r="A8" s="13">
        <v>6</v>
      </c>
      <c r="B8" s="8" t="s">
        <v>25</v>
      </c>
      <c r="C8" s="14">
        <v>0.94799999999999995</v>
      </c>
      <c r="D8" s="15">
        <v>81.375299999999996</v>
      </c>
      <c r="E8" s="15">
        <v>18.714799880000001</v>
      </c>
      <c r="F8" s="15">
        <v>12.96049023</v>
      </c>
      <c r="G8" s="13">
        <v>60364.785949999998</v>
      </c>
      <c r="H8" s="13">
        <v>6</v>
      </c>
      <c r="I8" s="13">
        <v>5</v>
      </c>
      <c r="J8" s="23" t="str">
        <f t="shared" si="0"/>
        <v>VERY HIGH HUMAN DEVELOPMENT</v>
      </c>
    </row>
    <row r="9" spans="1:10" s="12" customFormat="1" ht="22.9" customHeight="1">
      <c r="A9" s="13">
        <v>7</v>
      </c>
      <c r="B9" s="8" t="s">
        <v>26</v>
      </c>
      <c r="C9" s="14">
        <v>0.94699999999999995</v>
      </c>
      <c r="D9" s="15">
        <v>82.9833</v>
      </c>
      <c r="E9" s="15">
        <v>19.418529509999999</v>
      </c>
      <c r="F9" s="15">
        <v>12.609720230000001</v>
      </c>
      <c r="G9" s="13">
        <v>54489.37401</v>
      </c>
      <c r="H9" s="13">
        <v>9</v>
      </c>
      <c r="I9" s="13">
        <v>9</v>
      </c>
      <c r="J9" s="23" t="str">
        <f t="shared" si="0"/>
        <v>VERY HIGH HUMAN DEVELOPMENT</v>
      </c>
    </row>
    <row r="10" spans="1:10" s="12" customFormat="1" ht="22.9" customHeight="1">
      <c r="A10" s="13">
        <v>8</v>
      </c>
      <c r="B10" s="8" t="s">
        <v>27</v>
      </c>
      <c r="C10" s="14">
        <v>0.94499999999999995</v>
      </c>
      <c r="D10" s="15">
        <v>81.997600000000006</v>
      </c>
      <c r="E10" s="15">
        <v>18.94522095</v>
      </c>
      <c r="F10" s="15">
        <v>11.58222303</v>
      </c>
      <c r="G10" s="13">
        <v>76168.984429999997</v>
      </c>
      <c r="H10" s="13">
        <v>-3</v>
      </c>
      <c r="I10" s="13">
        <v>8</v>
      </c>
      <c r="J10" s="23" t="str">
        <f t="shared" si="0"/>
        <v>VERY HIGH HUMAN DEVELOPMENT</v>
      </c>
    </row>
    <row r="11" spans="1:10" s="12" customFormat="1" ht="22.9" customHeight="1">
      <c r="A11" s="13">
        <v>9</v>
      </c>
      <c r="B11" s="8" t="s">
        <v>30</v>
      </c>
      <c r="C11" s="14">
        <v>0.94199999999999995</v>
      </c>
      <c r="D11" s="15">
        <v>80.630099999999999</v>
      </c>
      <c r="E11" s="15">
        <v>17.010139469999999</v>
      </c>
      <c r="F11" s="15">
        <v>14.090966910000001</v>
      </c>
      <c r="G11" s="13">
        <v>54534.216820000001</v>
      </c>
      <c r="H11" s="13">
        <v>6</v>
      </c>
      <c r="I11" s="13">
        <v>7</v>
      </c>
      <c r="J11" s="23" t="str">
        <f t="shared" si="0"/>
        <v>VERY HIGH HUMAN DEVELOPMENT</v>
      </c>
    </row>
    <row r="12" spans="1:10" s="12" customFormat="1" ht="22.9" customHeight="1">
      <c r="A12" s="13">
        <v>10</v>
      </c>
      <c r="B12" s="8" t="s">
        <v>31</v>
      </c>
      <c r="C12" s="14">
        <v>0.94099999999999995</v>
      </c>
      <c r="D12" s="15">
        <v>81.687299999999993</v>
      </c>
      <c r="E12" s="15">
        <v>18.693165220000001</v>
      </c>
      <c r="F12" s="15">
        <v>12.581629749999999</v>
      </c>
      <c r="G12" s="13">
        <v>55979.411</v>
      </c>
      <c r="H12" s="13">
        <v>3</v>
      </c>
      <c r="I12" s="13">
        <v>10</v>
      </c>
      <c r="J12" s="23" t="str">
        <f t="shared" si="0"/>
        <v>VERY HIGH HUMAN DEVELOPMENT</v>
      </c>
    </row>
    <row r="13" spans="1:10" s="12" customFormat="1" ht="22.9" customHeight="1">
      <c r="A13" s="13">
        <v>11</v>
      </c>
      <c r="B13" s="8" t="s">
        <v>33</v>
      </c>
      <c r="C13" s="14">
        <v>0.94</v>
      </c>
      <c r="D13" s="15">
        <v>82.0381</v>
      </c>
      <c r="E13" s="15">
        <v>19.051929470000001</v>
      </c>
      <c r="F13" s="15">
        <v>12.87362003</v>
      </c>
      <c r="G13" s="13">
        <v>49452.166720000001</v>
      </c>
      <c r="H13" s="13">
        <v>11</v>
      </c>
      <c r="I13" s="13">
        <v>12</v>
      </c>
      <c r="J13" s="23" t="str">
        <f t="shared" si="0"/>
        <v>VERY HIGH HUMAN DEVELOPMENT</v>
      </c>
    </row>
    <row r="14" spans="1:10" s="12" customFormat="1" ht="22.9" customHeight="1">
      <c r="A14" s="13">
        <v>12</v>
      </c>
      <c r="B14" s="8" t="s">
        <v>34</v>
      </c>
      <c r="C14" s="14">
        <v>0.93899999999999995</v>
      </c>
      <c r="D14" s="15">
        <v>82.754499999999993</v>
      </c>
      <c r="E14" s="15">
        <v>16.524320599999999</v>
      </c>
      <c r="F14" s="15">
        <v>11.924880030000001</v>
      </c>
      <c r="G14" s="13">
        <v>90918.644709999993</v>
      </c>
      <c r="H14" s="13">
        <v>-10</v>
      </c>
      <c r="I14" s="13">
        <v>10</v>
      </c>
      <c r="J14" s="23" t="str">
        <f t="shared" si="0"/>
        <v>VERY HIGH HUMAN DEVELOPMENT</v>
      </c>
    </row>
    <row r="15" spans="1:10" s="12" customFormat="1" ht="22.9" customHeight="1">
      <c r="A15" s="13">
        <v>13</v>
      </c>
      <c r="B15" s="8" t="s">
        <v>35</v>
      </c>
      <c r="C15" s="14">
        <v>0.93700000000000006</v>
      </c>
      <c r="D15" s="15">
        <v>81.878699999999995</v>
      </c>
      <c r="E15" s="15">
        <v>19.604219440000001</v>
      </c>
      <c r="F15" s="15">
        <v>12.37567997</v>
      </c>
      <c r="G15" s="13">
        <v>52293.399770000004</v>
      </c>
      <c r="H15" s="13">
        <v>7</v>
      </c>
      <c r="I15" s="13">
        <v>16</v>
      </c>
      <c r="J15" s="23" t="str">
        <f t="shared" si="0"/>
        <v>VERY HIGH HUMAN DEVELOPMENT</v>
      </c>
    </row>
    <row r="16" spans="1:10" s="12" customFormat="1" ht="22.9" customHeight="1">
      <c r="A16" s="13">
        <v>13</v>
      </c>
      <c r="B16" s="8" t="s">
        <v>36</v>
      </c>
      <c r="C16" s="14">
        <v>0.93700000000000006</v>
      </c>
      <c r="D16" s="15">
        <v>82.451300000000003</v>
      </c>
      <c r="E16" s="15">
        <v>20.283889769999998</v>
      </c>
      <c r="F16" s="15">
        <v>12.94468975</v>
      </c>
      <c r="G16" s="13">
        <v>44057.31394</v>
      </c>
      <c r="H16" s="13">
        <v>16</v>
      </c>
      <c r="I16" s="13">
        <v>13</v>
      </c>
      <c r="J16" s="23" t="str">
        <f t="shared" si="0"/>
        <v>VERY HIGH HUMAN DEVELOPMENT</v>
      </c>
    </row>
    <row r="17" spans="1:10" s="12" customFormat="1" ht="22.9" customHeight="1">
      <c r="A17" s="13">
        <v>15</v>
      </c>
      <c r="B17" s="8" t="s">
        <v>37</v>
      </c>
      <c r="C17" s="14">
        <v>0.93600000000000005</v>
      </c>
      <c r="D17" s="15">
        <v>82.656499999999994</v>
      </c>
      <c r="E17" s="15">
        <v>16.396259310000001</v>
      </c>
      <c r="F17" s="15">
        <v>13.83442722</v>
      </c>
      <c r="G17" s="13">
        <v>46807.986190000003</v>
      </c>
      <c r="H17" s="13">
        <v>9</v>
      </c>
      <c r="I17" s="13">
        <v>15</v>
      </c>
      <c r="J17" s="23" t="str">
        <f t="shared" si="0"/>
        <v>VERY HIGH HUMAN DEVELOPMENT</v>
      </c>
    </row>
    <row r="18" spans="1:10" s="12" customFormat="1" ht="22.9" customHeight="1">
      <c r="A18" s="13">
        <v>16</v>
      </c>
      <c r="B18" s="8" t="s">
        <v>38</v>
      </c>
      <c r="C18" s="14">
        <v>0.93500000000000005</v>
      </c>
      <c r="D18" s="15">
        <v>83.257499999999993</v>
      </c>
      <c r="E18" s="15">
        <v>15.181570049999999</v>
      </c>
      <c r="F18" s="15">
        <v>12.538539999999999</v>
      </c>
      <c r="G18" s="13">
        <v>146829.70060000001</v>
      </c>
      <c r="H18" s="13">
        <v>-15</v>
      </c>
      <c r="I18" s="13">
        <v>14</v>
      </c>
      <c r="J18" s="23" t="str">
        <f t="shared" si="0"/>
        <v>VERY HIGH HUMAN DEVELOPMENT</v>
      </c>
    </row>
    <row r="19" spans="1:10" s="12" customFormat="1" ht="22.9" customHeight="1">
      <c r="A19" s="13">
        <v>17</v>
      </c>
      <c r="B19" s="8" t="s">
        <v>41</v>
      </c>
      <c r="C19" s="14">
        <v>0.93</v>
      </c>
      <c r="D19" s="15">
        <v>82.628699999999995</v>
      </c>
      <c r="E19" s="15">
        <v>14.398139949999999</v>
      </c>
      <c r="F19" s="15">
        <v>13.015192170000001</v>
      </c>
      <c r="G19" s="13">
        <v>84649.474669999996</v>
      </c>
      <c r="H19" s="13">
        <v>-13</v>
      </c>
      <c r="I19" s="13">
        <v>17</v>
      </c>
      <c r="J19" s="23" t="str">
        <f t="shared" si="0"/>
        <v>VERY HIGH HUMAN DEVELOPMENT</v>
      </c>
    </row>
    <row r="20" spans="1:10" s="12" customFormat="1" ht="22.9" customHeight="1">
      <c r="A20" s="13">
        <v>18</v>
      </c>
      <c r="B20" s="8" t="s">
        <v>43</v>
      </c>
      <c r="C20" s="14">
        <v>0.92900000000000005</v>
      </c>
      <c r="D20" s="15">
        <v>80.742199999999997</v>
      </c>
      <c r="E20" s="15">
        <v>17.309719090000002</v>
      </c>
      <c r="F20" s="15">
        <v>13.4061203</v>
      </c>
      <c r="G20" s="13">
        <v>45224.765639999998</v>
      </c>
      <c r="H20" s="13">
        <v>9</v>
      </c>
      <c r="I20" s="13">
        <v>17</v>
      </c>
      <c r="J20" s="23" t="str">
        <f t="shared" si="0"/>
        <v>VERY HIGH HUMAN DEVELOPMENT</v>
      </c>
    </row>
    <row r="21" spans="1:10" s="12" customFormat="1" ht="22.9" customHeight="1">
      <c r="A21" s="13">
        <v>19</v>
      </c>
      <c r="B21" s="8" t="s">
        <v>44</v>
      </c>
      <c r="C21" s="14">
        <v>0.92500000000000004</v>
      </c>
      <c r="D21" s="15">
        <v>84.783900000000003</v>
      </c>
      <c r="E21" s="15">
        <v>15.221625879999999</v>
      </c>
      <c r="F21" s="15">
        <v>13.366100339999999</v>
      </c>
      <c r="G21" s="13">
        <v>42274.291340000003</v>
      </c>
      <c r="H21" s="13">
        <v>12</v>
      </c>
      <c r="I21" s="13">
        <v>19</v>
      </c>
      <c r="J21" s="23" t="str">
        <f t="shared" si="0"/>
        <v>VERY HIGH HUMAN DEVELOPMENT</v>
      </c>
    </row>
    <row r="22" spans="1:10" s="12" customFormat="1" ht="22.9" customHeight="1">
      <c r="A22" s="13">
        <v>19</v>
      </c>
      <c r="B22" s="8" t="s">
        <v>45</v>
      </c>
      <c r="C22" s="14">
        <v>0.92500000000000004</v>
      </c>
      <c r="D22" s="15">
        <v>83.697800000000001</v>
      </c>
      <c r="E22" s="15">
        <v>16.521739960000001</v>
      </c>
      <c r="F22" s="15">
        <v>12.51293027</v>
      </c>
      <c r="G22" s="13">
        <v>44500.93187</v>
      </c>
      <c r="H22" s="13">
        <v>9</v>
      </c>
      <c r="I22" s="13">
        <v>20</v>
      </c>
      <c r="J22" s="23" t="str">
        <f t="shared" si="0"/>
        <v>VERY HIGH HUMAN DEVELOPMENT</v>
      </c>
    </row>
    <row r="23" spans="1:10" s="12" customFormat="1" ht="22.9" customHeight="1">
      <c r="A23" s="13">
        <v>21</v>
      </c>
      <c r="B23" s="8" t="s">
        <v>46</v>
      </c>
      <c r="C23" s="14">
        <v>0.92100000000000004</v>
      </c>
      <c r="D23" s="15">
        <v>77.1982</v>
      </c>
      <c r="E23" s="15">
        <v>16.280979160000001</v>
      </c>
      <c r="F23" s="15">
        <v>13.683429719999999</v>
      </c>
      <c r="G23" s="13">
        <v>64765.215089999998</v>
      </c>
      <c r="H23" s="13">
        <v>-14</v>
      </c>
      <c r="I23" s="13">
        <v>21</v>
      </c>
      <c r="J23" s="23" t="str">
        <f t="shared" si="0"/>
        <v>VERY HIGH HUMAN DEVELOPMENT</v>
      </c>
    </row>
    <row r="24" spans="1:10" s="12" customFormat="1" ht="22.9" customHeight="1">
      <c r="A24" s="13">
        <v>22</v>
      </c>
      <c r="B24" s="8" t="s">
        <v>47</v>
      </c>
      <c r="C24" s="14">
        <v>0.91900000000000004</v>
      </c>
      <c r="D24" s="15">
        <v>82.254999999999995</v>
      </c>
      <c r="E24" s="15">
        <v>16.05088997</v>
      </c>
      <c r="F24" s="15">
        <v>13.344866400000001</v>
      </c>
      <c r="G24" s="13">
        <v>41523.743190000001</v>
      </c>
      <c r="H24" s="13">
        <v>10</v>
      </c>
      <c r="I24" s="13">
        <v>22</v>
      </c>
      <c r="J24" s="23" t="str">
        <f t="shared" si="0"/>
        <v>VERY HIGH HUMAN DEVELOPMENT</v>
      </c>
    </row>
    <row r="25" spans="1:10" s="12" customFormat="1" ht="22.9" customHeight="1">
      <c r="A25" s="13">
        <v>23</v>
      </c>
      <c r="B25" s="8" t="s">
        <v>48</v>
      </c>
      <c r="C25" s="14">
        <v>0.91800000000000004</v>
      </c>
      <c r="D25" s="15">
        <v>83.776899999999998</v>
      </c>
      <c r="E25" s="15">
        <v>16.838569639999999</v>
      </c>
      <c r="F25" s="15">
        <v>12.21026039</v>
      </c>
      <c r="G25" s="13">
        <v>38884.456230000003</v>
      </c>
      <c r="H25" s="13">
        <v>12</v>
      </c>
      <c r="I25" s="13">
        <v>26</v>
      </c>
      <c r="J25" s="23" t="str">
        <f t="shared" si="0"/>
        <v>VERY HIGH HUMAN DEVELOPMENT</v>
      </c>
    </row>
    <row r="26" spans="1:10" s="12" customFormat="1" ht="22.9" customHeight="1">
      <c r="A26" s="13">
        <v>23</v>
      </c>
      <c r="B26" s="8" t="s">
        <v>49</v>
      </c>
      <c r="C26" s="14">
        <v>0.91800000000000004</v>
      </c>
      <c r="D26" s="15">
        <v>80.690399999999997</v>
      </c>
      <c r="E26" s="15">
        <v>17.654920579999999</v>
      </c>
      <c r="F26" s="15">
        <v>12.803680419999999</v>
      </c>
      <c r="G26" s="13">
        <v>39746.019869999996</v>
      </c>
      <c r="H26" s="13">
        <v>10</v>
      </c>
      <c r="I26" s="13">
        <v>23</v>
      </c>
      <c r="J26" s="23" t="str">
        <f t="shared" si="0"/>
        <v>VERY HIGH HUMAN DEVELOPMENT</v>
      </c>
    </row>
    <row r="27" spans="1:10" s="12" customFormat="1" ht="22.9" customHeight="1">
      <c r="A27" s="13">
        <v>25</v>
      </c>
      <c r="B27" s="8" t="s">
        <v>50</v>
      </c>
      <c r="C27" s="14">
        <v>0.91600000000000004</v>
      </c>
      <c r="D27" s="15">
        <v>81.579700000000003</v>
      </c>
      <c r="E27" s="15">
        <v>16.007959369999998</v>
      </c>
      <c r="F27" s="15">
        <v>12.25669003</v>
      </c>
      <c r="G27" s="13">
        <v>53618.67138</v>
      </c>
      <c r="H27" s="13">
        <v>-8</v>
      </c>
      <c r="I27" s="13">
        <v>23</v>
      </c>
      <c r="J27" s="23" t="str">
        <f t="shared" si="0"/>
        <v>VERY HIGH HUMAN DEVELOPMENT</v>
      </c>
    </row>
    <row r="28" spans="1:10" s="12" customFormat="1" ht="22.9" customHeight="1">
      <c r="A28" s="13">
        <v>26</v>
      </c>
      <c r="B28" s="8" t="s">
        <v>51</v>
      </c>
      <c r="C28" s="14">
        <v>0.91100000000000003</v>
      </c>
      <c r="D28" s="15">
        <v>78.710400000000007</v>
      </c>
      <c r="E28" s="15">
        <v>15.717690470000001</v>
      </c>
      <c r="F28" s="15">
        <v>12.69402981</v>
      </c>
      <c r="G28" s="13">
        <v>62573.591809999998</v>
      </c>
      <c r="H28" s="13">
        <v>-15</v>
      </c>
      <c r="I28" s="13">
        <v>25</v>
      </c>
      <c r="J28" s="23" t="str">
        <f t="shared" si="0"/>
        <v>VERY HIGH HUMAN DEVELOPMENT</v>
      </c>
    </row>
    <row r="29" spans="1:10" s="12" customFormat="1" ht="22.9" customHeight="1">
      <c r="A29" s="13">
        <v>27</v>
      </c>
      <c r="B29" s="8" t="s">
        <v>52</v>
      </c>
      <c r="C29" s="14">
        <v>0.90500000000000003</v>
      </c>
      <c r="D29" s="15">
        <v>83.01</v>
      </c>
      <c r="E29" s="15">
        <v>17.916900630000001</v>
      </c>
      <c r="F29" s="15">
        <v>10.60540009</v>
      </c>
      <c r="G29" s="13">
        <v>38353.601640000001</v>
      </c>
      <c r="H29" s="13">
        <v>10</v>
      </c>
      <c r="I29" s="13">
        <v>27</v>
      </c>
      <c r="J29" s="23" t="str">
        <f t="shared" si="0"/>
        <v>VERY HIGH HUMAN DEVELOPMENT</v>
      </c>
    </row>
    <row r="30" spans="1:10" s="12" customFormat="1" ht="22.9" customHeight="1">
      <c r="A30" s="13">
        <v>28</v>
      </c>
      <c r="B30" s="8" t="s">
        <v>53</v>
      </c>
      <c r="C30" s="14">
        <v>0.90300000000000002</v>
      </c>
      <c r="D30" s="15">
        <v>82.498800000000003</v>
      </c>
      <c r="E30" s="15">
        <v>15.81206989</v>
      </c>
      <c r="F30" s="15">
        <v>11.610059740000001</v>
      </c>
      <c r="G30" s="13">
        <v>45937.052730000003</v>
      </c>
      <c r="H30" s="13">
        <v>-2</v>
      </c>
      <c r="I30" s="13">
        <v>28</v>
      </c>
      <c r="J30" s="23" t="str">
        <f t="shared" si="0"/>
        <v>VERY HIGH HUMAN DEVELOPMENT</v>
      </c>
    </row>
    <row r="31" spans="1:10" s="12" customFormat="1" ht="22.9" customHeight="1">
      <c r="A31" s="13">
        <v>29</v>
      </c>
      <c r="B31" s="8" t="s">
        <v>54</v>
      </c>
      <c r="C31" s="14">
        <v>0.89600000000000002</v>
      </c>
      <c r="D31" s="15">
        <v>81.203299999999999</v>
      </c>
      <c r="E31" s="15">
        <v>15.64826965</v>
      </c>
      <c r="F31" s="15">
        <v>12.440170289999999</v>
      </c>
      <c r="G31" s="13">
        <v>38188.421520000004</v>
      </c>
      <c r="H31" s="13">
        <v>9</v>
      </c>
      <c r="I31" s="13">
        <v>29</v>
      </c>
      <c r="J31" s="23" t="str">
        <f t="shared" si="0"/>
        <v>VERY HIGH HUMAN DEVELOPMENT</v>
      </c>
    </row>
    <row r="32" spans="1:10" s="12" customFormat="1" ht="22.9" customHeight="1">
      <c r="A32" s="13">
        <v>30</v>
      </c>
      <c r="B32" s="8" t="s">
        <v>55</v>
      </c>
      <c r="C32" s="14">
        <v>0.89500000000000002</v>
      </c>
      <c r="D32" s="15">
        <v>82.850200000000001</v>
      </c>
      <c r="E32" s="15">
        <v>16.22678947</v>
      </c>
      <c r="F32" s="15">
        <v>10.740110400000001</v>
      </c>
      <c r="G32" s="13">
        <v>42839.514410000003</v>
      </c>
      <c r="H32" s="13">
        <v>0</v>
      </c>
      <c r="I32" s="13">
        <v>32</v>
      </c>
      <c r="J32" s="23" t="str">
        <f t="shared" si="0"/>
        <v>VERY HIGH HUMAN DEVELOPMENT</v>
      </c>
    </row>
    <row r="33" spans="1:10" s="12" customFormat="1" ht="22.9" customHeight="1">
      <c r="A33" s="13">
        <v>31</v>
      </c>
      <c r="B33" s="8" t="s">
        <v>56</v>
      </c>
      <c r="C33" s="14">
        <v>0.89</v>
      </c>
      <c r="D33" s="15">
        <v>77.143600000000006</v>
      </c>
      <c r="E33" s="15">
        <v>15.92895985</v>
      </c>
      <c r="F33" s="15">
        <v>13.548430440000001</v>
      </c>
      <c r="G33" s="13">
        <v>38048.263720000003</v>
      </c>
      <c r="H33" s="13">
        <v>8</v>
      </c>
      <c r="I33" s="13">
        <v>30</v>
      </c>
      <c r="J33" s="23" t="str">
        <f t="shared" si="0"/>
        <v>VERY HIGH HUMAN DEVELOPMENT</v>
      </c>
    </row>
    <row r="34" spans="1:10" s="12" customFormat="1" ht="22.9" customHeight="1">
      <c r="A34" s="13">
        <v>32</v>
      </c>
      <c r="B34" s="8" t="s">
        <v>57</v>
      </c>
      <c r="C34" s="14">
        <v>0.88900000000000001</v>
      </c>
      <c r="D34" s="15">
        <v>77.728300000000004</v>
      </c>
      <c r="E34" s="15">
        <v>16.219680790000002</v>
      </c>
      <c r="F34" s="15">
        <v>12.86931038</v>
      </c>
      <c r="G34" s="13">
        <v>38745.213860000003</v>
      </c>
      <c r="H34" s="13">
        <v>4</v>
      </c>
      <c r="I34" s="13">
        <v>30</v>
      </c>
      <c r="J34" s="23" t="str">
        <f t="shared" si="0"/>
        <v>VERY HIGH HUMAN DEVELOPMENT</v>
      </c>
    </row>
    <row r="35" spans="1:10" s="12" customFormat="1" ht="22.9" customHeight="1">
      <c r="A35" s="13">
        <v>33</v>
      </c>
      <c r="B35" s="8" t="s">
        <v>58</v>
      </c>
      <c r="C35" s="14">
        <v>0.88700000000000001</v>
      </c>
      <c r="D35" s="15">
        <v>80.110600000000005</v>
      </c>
      <c r="E35" s="15">
        <v>20.02878952</v>
      </c>
      <c r="F35" s="15">
        <v>11.408530239999999</v>
      </c>
      <c r="G35" s="13">
        <v>29002.48545</v>
      </c>
      <c r="H35" s="13">
        <v>17</v>
      </c>
      <c r="I35" s="13">
        <v>33</v>
      </c>
      <c r="J35" s="23" t="str">
        <f t="shared" si="0"/>
        <v>VERY HIGH HUMAN DEVELOPMENT</v>
      </c>
    </row>
    <row r="36" spans="1:10" s="12" customFormat="1" ht="22.9" customHeight="1">
      <c r="A36" s="13">
        <v>34</v>
      </c>
      <c r="B36" s="8" t="s">
        <v>59</v>
      </c>
      <c r="C36" s="14">
        <v>0.876</v>
      </c>
      <c r="D36" s="15">
        <v>76.4572</v>
      </c>
      <c r="E36" s="15">
        <v>16.0271492</v>
      </c>
      <c r="F36" s="15">
        <v>13.164750099999999</v>
      </c>
      <c r="G36" s="13">
        <v>33033.960809999997</v>
      </c>
      <c r="H36" s="13">
        <v>8</v>
      </c>
      <c r="I36" s="13">
        <v>36</v>
      </c>
      <c r="J36" s="23" t="str">
        <f t="shared" si="0"/>
        <v>VERY HIGH HUMAN DEVELOPMENT</v>
      </c>
    </row>
    <row r="37" spans="1:10" s="12" customFormat="1" ht="22.9" customHeight="1">
      <c r="A37" s="13">
        <v>35</v>
      </c>
      <c r="B37" s="8" t="s">
        <v>60</v>
      </c>
      <c r="C37" s="14">
        <v>0.875</v>
      </c>
      <c r="D37" s="15">
        <v>78.760499999999993</v>
      </c>
      <c r="E37" s="15">
        <v>16.297559740000001</v>
      </c>
      <c r="F37" s="15">
        <v>11.04658985</v>
      </c>
      <c r="G37" s="13">
        <v>39497.247880000003</v>
      </c>
      <c r="H37" s="13">
        <v>-1</v>
      </c>
      <c r="I37" s="13">
        <v>35</v>
      </c>
      <c r="J37" s="23" t="str">
        <f t="shared" si="0"/>
        <v>VERY HIGH HUMAN DEVELOPMENT</v>
      </c>
    </row>
    <row r="38" spans="1:10" s="12" customFormat="1" ht="22.9" customHeight="1">
      <c r="A38" s="13">
        <v>35</v>
      </c>
      <c r="B38" s="8" t="s">
        <v>61</v>
      </c>
      <c r="C38" s="14">
        <v>0.875</v>
      </c>
      <c r="D38" s="15">
        <v>73.720100000000002</v>
      </c>
      <c r="E38" s="15">
        <v>16.28506088</v>
      </c>
      <c r="F38" s="15">
        <v>13.498100279999999</v>
      </c>
      <c r="G38" s="13">
        <v>37931.303590000003</v>
      </c>
      <c r="H38" s="13">
        <v>5</v>
      </c>
      <c r="I38" s="13">
        <v>34</v>
      </c>
      <c r="J38" s="23" t="str">
        <f t="shared" si="0"/>
        <v>VERY HIGH HUMAN DEVELOPMENT</v>
      </c>
    </row>
    <row r="39" spans="1:10" s="12" customFormat="1" ht="22.9" customHeight="1">
      <c r="A39" s="13">
        <v>35</v>
      </c>
      <c r="B39" s="8" t="s">
        <v>62</v>
      </c>
      <c r="C39" s="14">
        <v>0.875</v>
      </c>
      <c r="D39" s="15">
        <v>76.936000000000007</v>
      </c>
      <c r="E39" s="15">
        <v>16.13549042</v>
      </c>
      <c r="F39" s="15">
        <v>11.310529710000001</v>
      </c>
      <c r="G39" s="13">
        <v>46111.551350000002</v>
      </c>
      <c r="H39" s="13">
        <v>-10</v>
      </c>
      <c r="I39" s="13">
        <v>38</v>
      </c>
      <c r="J39" s="23" t="str">
        <f t="shared" si="0"/>
        <v>VERY HIGH HUMAN DEVELOPMENT</v>
      </c>
    </row>
    <row r="40" spans="1:10" s="12" customFormat="1" ht="22.9" customHeight="1">
      <c r="A40" s="13">
        <v>38</v>
      </c>
      <c r="B40" s="8" t="s">
        <v>63</v>
      </c>
      <c r="C40" s="14">
        <v>0.86599999999999999</v>
      </c>
      <c r="D40" s="15">
        <v>81.044300000000007</v>
      </c>
      <c r="E40" s="15">
        <v>16.871229169999999</v>
      </c>
      <c r="F40" s="15">
        <v>9.5759401319999995</v>
      </c>
      <c r="G40" s="13">
        <v>33154.533430000003</v>
      </c>
      <c r="H40" s="13">
        <v>3</v>
      </c>
      <c r="I40" s="13">
        <v>39</v>
      </c>
      <c r="J40" s="23" t="str">
        <f t="shared" si="0"/>
        <v>VERY HIGH HUMAN DEVELOPMENT</v>
      </c>
    </row>
    <row r="41" spans="1:10" s="12" customFormat="1" ht="22.9" customHeight="1">
      <c r="A41" s="13">
        <v>39</v>
      </c>
      <c r="B41" s="8" t="s">
        <v>64</v>
      </c>
      <c r="C41" s="14">
        <v>0.86299999999999999</v>
      </c>
      <c r="D41" s="15">
        <v>73.578599999999994</v>
      </c>
      <c r="E41" s="15">
        <v>16.202529909999999</v>
      </c>
      <c r="F41" s="15">
        <v>13.252719880000001</v>
      </c>
      <c r="G41" s="13">
        <v>32803.234230000002</v>
      </c>
      <c r="H41" s="13">
        <v>4</v>
      </c>
      <c r="I41" s="13">
        <v>37</v>
      </c>
      <c r="J41" s="23" t="str">
        <f t="shared" si="0"/>
        <v>VERY HIGH HUMAN DEVELOPMENT</v>
      </c>
    </row>
    <row r="42" spans="1:10" s="12" customFormat="1" ht="22.9" customHeight="1">
      <c r="A42" s="13">
        <v>40</v>
      </c>
      <c r="B42" s="8" t="s">
        <v>65</v>
      </c>
      <c r="C42" s="14">
        <v>0.85799999999999998</v>
      </c>
      <c r="D42" s="15">
        <v>80.368399999999994</v>
      </c>
      <c r="E42" s="15">
        <v>13.300238739999999</v>
      </c>
      <c r="F42" s="15">
        <v>10.55511952</v>
      </c>
      <c r="G42" s="13">
        <v>51166.626609999999</v>
      </c>
      <c r="H42" s="13">
        <v>-19</v>
      </c>
      <c r="I42" s="13">
        <v>45</v>
      </c>
      <c r="J42" s="23" t="str">
        <f t="shared" si="0"/>
        <v>VERY HIGH HUMAN DEVELOPMENT</v>
      </c>
    </row>
    <row r="43" spans="1:10" s="12" customFormat="1" ht="22.9" customHeight="1">
      <c r="A43" s="13">
        <v>40</v>
      </c>
      <c r="B43" s="8" t="s">
        <v>68</v>
      </c>
      <c r="C43" s="14">
        <v>0.85799999999999998</v>
      </c>
      <c r="D43" s="15">
        <v>77.580399999999997</v>
      </c>
      <c r="E43" s="15">
        <v>15.112099649999999</v>
      </c>
      <c r="F43" s="15">
        <v>12.19108434</v>
      </c>
      <c r="G43" s="13">
        <v>30132.288140000001</v>
      </c>
      <c r="H43" s="13">
        <v>8</v>
      </c>
      <c r="I43" s="13">
        <v>41</v>
      </c>
      <c r="J43" s="23" t="str">
        <f t="shared" si="0"/>
        <v>VERY HIGH HUMAN DEVELOPMENT</v>
      </c>
    </row>
    <row r="44" spans="1:10" s="12" customFormat="1" ht="22.9" customHeight="1">
      <c r="A44" s="13">
        <v>42</v>
      </c>
      <c r="B44" s="8" t="s">
        <v>69</v>
      </c>
      <c r="C44" s="14">
        <v>0.85499999999999998</v>
      </c>
      <c r="D44" s="15">
        <v>78.9435</v>
      </c>
      <c r="E44" s="15">
        <v>16.731300350000001</v>
      </c>
      <c r="F44" s="15">
        <v>10.934966299999999</v>
      </c>
      <c r="G44" s="13">
        <v>24563.244859999999</v>
      </c>
      <c r="H44" s="13">
        <v>14</v>
      </c>
      <c r="I44" s="13">
        <v>43</v>
      </c>
      <c r="J44" s="23" t="str">
        <f t="shared" si="0"/>
        <v>VERY HIGH HUMAN DEVELOPMENT</v>
      </c>
    </row>
    <row r="45" spans="1:10" s="12" customFormat="1" ht="22.9" customHeight="1">
      <c r="A45" s="13">
        <v>42</v>
      </c>
      <c r="B45" s="8" t="s">
        <v>70</v>
      </c>
      <c r="C45" s="14">
        <v>0.85499999999999998</v>
      </c>
      <c r="D45" s="15">
        <v>79.271600000000007</v>
      </c>
      <c r="E45" s="15">
        <v>12.63722038</v>
      </c>
      <c r="F45" s="15">
        <v>9.9960114499999992</v>
      </c>
      <c r="G45" s="13">
        <v>87134.134690000006</v>
      </c>
      <c r="H45" s="13">
        <v>-39</v>
      </c>
      <c r="I45" s="13">
        <v>42</v>
      </c>
      <c r="J45" s="23" t="str">
        <f t="shared" si="0"/>
        <v>VERY HIGH HUMAN DEVELOPMENT</v>
      </c>
    </row>
    <row r="46" spans="1:10" s="12" customFormat="1" ht="22.9" customHeight="1">
      <c r="A46" s="13">
        <v>44</v>
      </c>
      <c r="B46" s="8" t="s">
        <v>71</v>
      </c>
      <c r="C46" s="14">
        <v>0.85299999999999998</v>
      </c>
      <c r="D46" s="15">
        <v>80.878600000000006</v>
      </c>
      <c r="E46" s="15">
        <v>12.26613998</v>
      </c>
      <c r="F46" s="15">
        <v>10.80146027</v>
      </c>
      <c r="G46" s="13">
        <v>52653.825340000003</v>
      </c>
      <c r="H46" s="13">
        <v>-25</v>
      </c>
      <c r="I46" s="13">
        <v>46</v>
      </c>
      <c r="J46" s="23" t="str">
        <f t="shared" si="0"/>
        <v>VERY HIGH HUMAN DEVELOPMENT</v>
      </c>
    </row>
    <row r="47" spans="1:10" s="12" customFormat="1" ht="22.9" customHeight="1">
      <c r="A47" s="13">
        <v>45</v>
      </c>
      <c r="B47" s="8" t="s">
        <v>72</v>
      </c>
      <c r="C47" s="14">
        <v>0.84799999999999998</v>
      </c>
      <c r="D47" s="15">
        <v>74.9101</v>
      </c>
      <c r="E47" s="15">
        <v>14.51303959</v>
      </c>
      <c r="F47" s="15">
        <v>12.91141987</v>
      </c>
      <c r="G47" s="13">
        <v>30690.485519999998</v>
      </c>
      <c r="H47" s="13">
        <v>1</v>
      </c>
      <c r="I47" s="13">
        <v>40</v>
      </c>
      <c r="J47" s="23" t="str">
        <f t="shared" si="0"/>
        <v>VERY HIGH HUMAN DEVELOPMENT</v>
      </c>
    </row>
    <row r="48" spans="1:10" s="12" customFormat="1" ht="22.9" customHeight="1">
      <c r="A48" s="13">
        <v>46</v>
      </c>
      <c r="B48" s="8" t="s">
        <v>73</v>
      </c>
      <c r="C48" s="14">
        <v>0.84599999999999997</v>
      </c>
      <c r="D48" s="15">
        <v>74.530100000000004</v>
      </c>
      <c r="E48" s="15">
        <v>15.0336281</v>
      </c>
      <c r="F48" s="15">
        <v>12.24958992</v>
      </c>
      <c r="G48" s="13">
        <v>32789.010629999997</v>
      </c>
      <c r="H48" s="13">
        <v>-2</v>
      </c>
      <c r="I48" s="13">
        <v>44</v>
      </c>
      <c r="J48" s="23" t="str">
        <f t="shared" si="0"/>
        <v>VERY HIGH HUMAN DEVELOPMENT</v>
      </c>
    </row>
    <row r="49" spans="1:10" s="12" customFormat="1" ht="22.9" customHeight="1">
      <c r="A49" s="13">
        <v>47</v>
      </c>
      <c r="B49" s="8" t="s">
        <v>74</v>
      </c>
      <c r="C49" s="14">
        <v>0.84199999999999997</v>
      </c>
      <c r="D49" s="15">
        <v>75.389899999999997</v>
      </c>
      <c r="E49" s="15">
        <v>17.874870300000001</v>
      </c>
      <c r="F49" s="15">
        <v>11.147269270000001</v>
      </c>
      <c r="G49" s="13">
        <v>20925.26814</v>
      </c>
      <c r="H49" s="13">
        <v>17</v>
      </c>
      <c r="I49" s="13">
        <v>47</v>
      </c>
      <c r="J49" s="23" t="str">
        <f t="shared" si="0"/>
        <v>VERY HIGH HUMAN DEVELOPMENT</v>
      </c>
    </row>
    <row r="50" spans="1:10" s="12" customFormat="1" ht="22.9" customHeight="1">
      <c r="A50" s="13">
        <v>48</v>
      </c>
      <c r="B50" s="8" t="s">
        <v>75</v>
      </c>
      <c r="C50" s="14">
        <v>0.83799999999999997</v>
      </c>
      <c r="D50" s="15">
        <v>76.032399999999996</v>
      </c>
      <c r="E50" s="15">
        <v>18.3382206</v>
      </c>
      <c r="F50" s="15">
        <v>8.6331396100000006</v>
      </c>
      <c r="G50" s="13">
        <v>31032.801060000002</v>
      </c>
      <c r="H50" s="13">
        <v>-3</v>
      </c>
      <c r="I50" s="13">
        <v>48</v>
      </c>
      <c r="J50" s="23" t="str">
        <f t="shared" si="0"/>
        <v>VERY HIGH HUMAN DEVELOPMENT</v>
      </c>
    </row>
    <row r="51" spans="1:10" s="12" customFormat="1" ht="22.9" customHeight="1">
      <c r="A51" s="13">
        <v>49</v>
      </c>
      <c r="B51" s="8" t="s">
        <v>76</v>
      </c>
      <c r="C51" s="14">
        <v>0.83199999999999996</v>
      </c>
      <c r="D51" s="15">
        <v>76.342600000000004</v>
      </c>
      <c r="E51" s="15">
        <v>15.08160973</v>
      </c>
      <c r="F51" s="15">
        <v>12.176483060000001</v>
      </c>
      <c r="G51" s="13">
        <v>20838.801289999999</v>
      </c>
      <c r="H51" s="13">
        <v>16</v>
      </c>
      <c r="I51" s="13">
        <v>52</v>
      </c>
      <c r="J51" s="23" t="str">
        <f t="shared" si="0"/>
        <v>VERY HIGH HUMAN DEVELOPMENT</v>
      </c>
    </row>
    <row r="52" spans="1:10" s="12" customFormat="1" ht="22.9" customHeight="1">
      <c r="A52" s="13">
        <v>50</v>
      </c>
      <c r="B52" s="8" t="s">
        <v>77</v>
      </c>
      <c r="C52" s="14">
        <v>0.83099999999999996</v>
      </c>
      <c r="D52" s="15">
        <v>78.672899999999998</v>
      </c>
      <c r="E52" s="15">
        <v>15.324433320000001</v>
      </c>
      <c r="F52" s="15">
        <v>7.3280226180000003</v>
      </c>
      <c r="G52" s="13">
        <v>52919.76137</v>
      </c>
      <c r="H52" s="13">
        <v>-32</v>
      </c>
      <c r="I52" s="13">
        <v>54</v>
      </c>
      <c r="J52" s="23" t="str">
        <f t="shared" si="0"/>
        <v>VERY HIGH HUMAN DEVELOPMENT</v>
      </c>
    </row>
    <row r="53" spans="1:10" s="12" customFormat="1" ht="22.9" customHeight="1">
      <c r="A53" s="13">
        <v>51</v>
      </c>
      <c r="B53" s="8" t="s">
        <v>78</v>
      </c>
      <c r="C53" s="14">
        <v>0.82899999999999996</v>
      </c>
      <c r="D53" s="15">
        <v>74.642399999999995</v>
      </c>
      <c r="E53" s="15">
        <v>13.951780319999999</v>
      </c>
      <c r="F53" s="15">
        <v>9.18</v>
      </c>
      <c r="G53" s="13">
        <v>64489.539539999998</v>
      </c>
      <c r="H53" s="13">
        <v>-42</v>
      </c>
      <c r="I53" s="13">
        <v>49</v>
      </c>
      <c r="J53" s="23" t="str">
        <f t="shared" si="0"/>
        <v>VERY HIGH HUMAN DEVELOPMENT</v>
      </c>
    </row>
    <row r="54" spans="1:10" s="12" customFormat="1" ht="22.9" customHeight="1">
      <c r="A54" s="13">
        <v>52</v>
      </c>
      <c r="B54" s="8" t="s">
        <v>79</v>
      </c>
      <c r="C54" s="14">
        <v>0.82199999999999995</v>
      </c>
      <c r="D54" s="15">
        <v>69.418999999999997</v>
      </c>
      <c r="E54" s="15">
        <v>15.76636982</v>
      </c>
      <c r="F54" s="15">
        <v>12.774288049999999</v>
      </c>
      <c r="G54" s="13">
        <v>27166.30891</v>
      </c>
      <c r="H54" s="13">
        <v>-1</v>
      </c>
      <c r="I54" s="13">
        <v>49</v>
      </c>
      <c r="J54" s="23" t="str">
        <f t="shared" si="0"/>
        <v>VERY HIGH HUMAN DEVELOPMENT</v>
      </c>
    </row>
    <row r="55" spans="1:10" s="12" customFormat="1" ht="22.9" customHeight="1">
      <c r="A55" s="13">
        <v>53</v>
      </c>
      <c r="B55" s="8" t="s">
        <v>80</v>
      </c>
      <c r="C55" s="14">
        <v>0.82099999999999995</v>
      </c>
      <c r="D55" s="15">
        <v>74.184700000000007</v>
      </c>
      <c r="E55" s="15">
        <v>14.22990036</v>
      </c>
      <c r="F55" s="15">
        <v>11.275119780000001</v>
      </c>
      <c r="G55" s="13">
        <v>30027.291310000001</v>
      </c>
      <c r="H55" s="13">
        <v>-4</v>
      </c>
      <c r="I55" s="13">
        <v>53</v>
      </c>
      <c r="J55" s="23" t="str">
        <f t="shared" si="0"/>
        <v>VERY HIGH HUMAN DEVELOPMENT</v>
      </c>
    </row>
    <row r="56" spans="1:10" s="12" customFormat="1" ht="22.9" customHeight="1">
      <c r="A56" s="13">
        <v>54</v>
      </c>
      <c r="B56" s="8" t="s">
        <v>81</v>
      </c>
      <c r="C56" s="14">
        <v>0.81599999999999995</v>
      </c>
      <c r="D56" s="15">
        <v>72.540599999999998</v>
      </c>
      <c r="E56" s="15">
        <v>14.573490140000001</v>
      </c>
      <c r="F56" s="15">
        <v>11.65404034</v>
      </c>
      <c r="G56" s="13">
        <v>27054.325049999999</v>
      </c>
      <c r="H56" s="13">
        <v>-2</v>
      </c>
      <c r="I56" s="13">
        <v>51</v>
      </c>
      <c r="J56" s="23" t="str">
        <f t="shared" si="0"/>
        <v>VERY HIGH HUMAN DEVELOPMENT</v>
      </c>
    </row>
    <row r="57" spans="1:10" s="12" customFormat="1" ht="22.9" customHeight="1">
      <c r="A57" s="13">
        <v>55</v>
      </c>
      <c r="B57" s="8" t="s">
        <v>82</v>
      </c>
      <c r="C57" s="14">
        <v>0.81200000000000006</v>
      </c>
      <c r="D57" s="15">
        <v>71.598299999999995</v>
      </c>
      <c r="E57" s="15">
        <v>12.89945</v>
      </c>
      <c r="F57" s="15">
        <v>12.64192386</v>
      </c>
      <c r="G57" s="13">
        <v>30486.184290000001</v>
      </c>
      <c r="H57" s="13">
        <v>-8</v>
      </c>
      <c r="I57" s="13">
        <v>58</v>
      </c>
      <c r="J57" s="23" t="str">
        <f t="shared" si="0"/>
        <v>VERY HIGH HUMAN DEVELOPMENT</v>
      </c>
    </row>
    <row r="58" spans="1:10" s="12" customFormat="1" ht="22.9" customHeight="1">
      <c r="A58" s="13">
        <v>56</v>
      </c>
      <c r="B58" s="8" t="s">
        <v>84</v>
      </c>
      <c r="C58" s="14">
        <v>0.81100000000000005</v>
      </c>
      <c r="D58" s="15">
        <v>69.362200000000001</v>
      </c>
      <c r="E58" s="15">
        <v>15.76500034</v>
      </c>
      <c r="F58" s="15">
        <v>12.34756189</v>
      </c>
      <c r="G58" s="13">
        <v>23942.818370000001</v>
      </c>
      <c r="H58" s="13">
        <v>1</v>
      </c>
      <c r="I58" s="13">
        <v>59</v>
      </c>
      <c r="J58" s="23" t="str">
        <f t="shared" si="0"/>
        <v>VERY HIGH HUMAN DEVELOPMENT</v>
      </c>
    </row>
    <row r="59" spans="1:10" s="12" customFormat="1" ht="22.9" customHeight="1">
      <c r="A59" s="13">
        <v>57</v>
      </c>
      <c r="B59" s="8" t="s">
        <v>85</v>
      </c>
      <c r="C59" s="14">
        <v>0.81</v>
      </c>
      <c r="D59" s="15">
        <v>72.9709</v>
      </c>
      <c r="E59" s="15">
        <v>14.535452920000001</v>
      </c>
      <c r="F59" s="15">
        <v>11.610624189999999</v>
      </c>
      <c r="G59" s="13">
        <v>23392.020840000001</v>
      </c>
      <c r="H59" s="13">
        <v>1</v>
      </c>
      <c r="I59" s="13">
        <v>56</v>
      </c>
      <c r="J59" s="23" t="str">
        <f t="shared" si="0"/>
        <v>VERY HIGH HUMAN DEVELOPMENT</v>
      </c>
    </row>
    <row r="60" spans="1:10" s="12" customFormat="1" ht="22.9" customHeight="1">
      <c r="A60" s="13">
        <v>58</v>
      </c>
      <c r="B60" s="8" t="s">
        <v>87</v>
      </c>
      <c r="C60" s="14">
        <v>0.80900000000000005</v>
      </c>
      <c r="D60" s="15">
        <v>77.023200000000003</v>
      </c>
      <c r="E60" s="15">
        <v>16.545770650000001</v>
      </c>
      <c r="F60" s="15">
        <v>8.8040599820000001</v>
      </c>
      <c r="G60" s="13">
        <v>19974.273580000001</v>
      </c>
      <c r="H60" s="13">
        <v>8</v>
      </c>
      <c r="I60" s="13">
        <v>57</v>
      </c>
      <c r="J60" s="23" t="str">
        <f t="shared" si="0"/>
        <v>VERY HIGH HUMAN DEVELOPMENT</v>
      </c>
    </row>
    <row r="61" spans="1:10" s="12" customFormat="1" ht="22.9" customHeight="1">
      <c r="A61" s="13">
        <v>58</v>
      </c>
      <c r="B61" s="8" t="s">
        <v>88</v>
      </c>
      <c r="C61" s="14">
        <v>0.80900000000000005</v>
      </c>
      <c r="D61" s="15">
        <v>75.435599999999994</v>
      </c>
      <c r="E61" s="15">
        <v>16.832599640000002</v>
      </c>
      <c r="F61" s="15">
        <v>8.9825496670000007</v>
      </c>
      <c r="G61" s="13">
        <v>21268.881219999999</v>
      </c>
      <c r="H61" s="13">
        <v>5</v>
      </c>
      <c r="I61" s="13">
        <v>55</v>
      </c>
      <c r="J61" s="23" t="str">
        <f t="shared" si="0"/>
        <v>VERY HIGH HUMAN DEVELOPMENT</v>
      </c>
    </row>
    <row r="62" spans="1:10" s="12" customFormat="1" ht="22.9" customHeight="1">
      <c r="A62" s="13">
        <v>60</v>
      </c>
      <c r="B62" s="8" t="s">
        <v>89</v>
      </c>
      <c r="C62" s="14">
        <v>0.80800000000000005</v>
      </c>
      <c r="D62" s="15">
        <v>72.438000000000002</v>
      </c>
      <c r="E62" s="15">
        <v>15.16996956</v>
      </c>
      <c r="F62" s="15">
        <v>12.143580439999999</v>
      </c>
      <c r="G62" s="13">
        <v>18848.96704</v>
      </c>
      <c r="H62" s="13">
        <v>8</v>
      </c>
      <c r="I62" s="13">
        <v>60</v>
      </c>
      <c r="J62" s="23" t="str">
        <f t="shared" si="0"/>
        <v>VERY HIGH HUMAN DEVELOPMENT</v>
      </c>
    </row>
    <row r="63" spans="1:10" s="12" customFormat="1" ht="22.9" customHeight="1">
      <c r="A63" s="13">
        <v>61</v>
      </c>
      <c r="B63" s="8" t="s">
        <v>90</v>
      </c>
      <c r="C63" s="14">
        <v>0.80500000000000005</v>
      </c>
      <c r="D63" s="15">
        <v>76.223299999999995</v>
      </c>
      <c r="E63" s="15">
        <v>13.05787868</v>
      </c>
      <c r="F63" s="15">
        <v>10.540590290000001</v>
      </c>
      <c r="G63" s="13">
        <v>26956.837070000001</v>
      </c>
      <c r="H63" s="13">
        <v>-8</v>
      </c>
      <c r="I63" s="13">
        <v>67</v>
      </c>
      <c r="J63" s="23" t="str">
        <f t="shared" si="0"/>
        <v>VERY HIGH HUMAN DEVELOPMENT</v>
      </c>
    </row>
    <row r="64" spans="1:10" s="12" customFormat="1" ht="22.9" customHeight="1">
      <c r="A64" s="13">
        <v>62</v>
      </c>
      <c r="B64" s="8" t="s">
        <v>91</v>
      </c>
      <c r="C64" s="14">
        <v>0.80300000000000005</v>
      </c>
      <c r="D64" s="15">
        <v>74.883899999999997</v>
      </c>
      <c r="E64" s="15">
        <v>13.34304047</v>
      </c>
      <c r="F64" s="15">
        <v>10.645059590000001</v>
      </c>
      <c r="G64" s="13">
        <v>26657.94355</v>
      </c>
      <c r="H64" s="13">
        <v>-8</v>
      </c>
      <c r="I64" s="13">
        <v>61</v>
      </c>
      <c r="J64" s="23" t="str">
        <f t="shared" si="0"/>
        <v>VERY HIGH HUMAN DEVELOPMENT</v>
      </c>
    </row>
    <row r="65" spans="1:10" s="12" customFormat="1" ht="22.9" customHeight="1">
      <c r="A65" s="13">
        <v>63</v>
      </c>
      <c r="B65" s="8" t="s">
        <v>92</v>
      </c>
      <c r="C65" s="14">
        <v>0.80200000000000005</v>
      </c>
      <c r="D65" s="15">
        <v>71.694000000000003</v>
      </c>
      <c r="E65" s="15">
        <v>15.568519589999999</v>
      </c>
      <c r="F65" s="15">
        <v>12.82221985</v>
      </c>
      <c r="G65" s="13">
        <v>14664.168250000001</v>
      </c>
      <c r="H65" s="13">
        <v>17</v>
      </c>
      <c r="I65" s="13">
        <v>64</v>
      </c>
      <c r="J65" s="23" t="str">
        <f t="shared" si="0"/>
        <v>VERY HIGH HUMAN DEVELOPMENT</v>
      </c>
    </row>
    <row r="66" spans="1:10" s="12" customFormat="1" ht="22.9" customHeight="1">
      <c r="A66" s="13">
        <v>63</v>
      </c>
      <c r="B66" s="8" t="s">
        <v>93</v>
      </c>
      <c r="C66" s="14">
        <v>0.80200000000000005</v>
      </c>
      <c r="D66" s="15">
        <v>73.555199999999999</v>
      </c>
      <c r="E66" s="15">
        <v>15.17352977</v>
      </c>
      <c r="F66" s="15">
        <v>10.42791048</v>
      </c>
      <c r="G66" s="13">
        <v>22025.346310000001</v>
      </c>
      <c r="H66" s="13">
        <v>-1</v>
      </c>
      <c r="I66" s="13">
        <v>62</v>
      </c>
      <c r="J66" s="23" t="str">
        <f t="shared" si="0"/>
        <v>VERY HIGH HUMAN DEVELOPMENT</v>
      </c>
    </row>
    <row r="67" spans="1:10" s="12" customFormat="1" ht="22.9" customHeight="1">
      <c r="A67" s="13">
        <v>63</v>
      </c>
      <c r="B67" s="8" t="s">
        <v>94</v>
      </c>
      <c r="C67" s="14">
        <v>0.80200000000000005</v>
      </c>
      <c r="D67" s="15">
        <v>74.192300000000003</v>
      </c>
      <c r="E67" s="15">
        <v>14.400090219999999</v>
      </c>
      <c r="F67" s="15">
        <v>11.36987019</v>
      </c>
      <c r="G67" s="13">
        <v>19123.027470000001</v>
      </c>
      <c r="H67" s="13">
        <v>4</v>
      </c>
      <c r="I67" s="13">
        <v>62</v>
      </c>
      <c r="J67" s="23" t="str">
        <f t="shared" si="0"/>
        <v>VERY HIGH HUMAN DEVELOPMENT</v>
      </c>
    </row>
    <row r="68" spans="1:10" s="12" customFormat="1" ht="22.9" customHeight="1">
      <c r="A68" s="13">
        <v>66</v>
      </c>
      <c r="B68" s="8" t="s">
        <v>95</v>
      </c>
      <c r="C68" s="14">
        <v>0.8</v>
      </c>
      <c r="D68" s="15">
        <v>78.715400000000002</v>
      </c>
      <c r="E68" s="15">
        <v>15.882219129999999</v>
      </c>
      <c r="F68" s="15">
        <v>8.6971197129999993</v>
      </c>
      <c r="G68" s="13">
        <v>17030.15352</v>
      </c>
      <c r="H68" s="13">
        <v>6</v>
      </c>
      <c r="I68" s="13">
        <v>64</v>
      </c>
      <c r="J68" s="23" t="str">
        <f t="shared" ref="J68:J99" si="1">IF(A68&gt;159,"LOW HUMAN DEVELOPMENT",IF(A68&gt;115,"MEDIUM HUMAN DEVELOPMENT",IF(A68&gt;=67,"HIGH HUMAN DEVELOPMENT",IF(A68&lt;67,"VERY HIGH HUMAN DEVELOPMENT","Invalid"))))</f>
        <v>VERY HIGH HUMAN DEVELOPMENT</v>
      </c>
    </row>
    <row r="69" spans="1:10" s="12" customFormat="1" ht="22.9" customHeight="1">
      <c r="A69" s="13">
        <v>67</v>
      </c>
      <c r="B69" s="8" t="s">
        <v>97</v>
      </c>
      <c r="C69" s="14">
        <v>0.79600000000000004</v>
      </c>
      <c r="D69" s="15">
        <v>76.462599999999995</v>
      </c>
      <c r="E69" s="15">
        <v>14.44799995</v>
      </c>
      <c r="F69" s="15">
        <v>11.28645502</v>
      </c>
      <c r="G69" s="13">
        <v>14131.11039</v>
      </c>
      <c r="H69" s="13">
        <v>17</v>
      </c>
      <c r="I69" s="13">
        <v>68</v>
      </c>
      <c r="J69" s="23" t="str">
        <f t="shared" si="1"/>
        <v>HIGH HUMAN DEVELOPMENT</v>
      </c>
    </row>
    <row r="70" spans="1:10" s="12" customFormat="1" ht="22.9" customHeight="1">
      <c r="A70" s="13">
        <v>68</v>
      </c>
      <c r="B70" s="8" t="s">
        <v>98</v>
      </c>
      <c r="C70" s="14">
        <v>0.79500000000000004</v>
      </c>
      <c r="D70" s="15">
        <v>71.798000000000002</v>
      </c>
      <c r="E70" s="15">
        <v>13.897290229999999</v>
      </c>
      <c r="F70" s="15">
        <v>11.413180349999999</v>
      </c>
      <c r="G70" s="13">
        <v>23078.95595</v>
      </c>
      <c r="H70" s="13">
        <v>-8</v>
      </c>
      <c r="I70" s="13">
        <v>64</v>
      </c>
      <c r="J70" s="23" t="str">
        <f t="shared" si="1"/>
        <v>HIGH HUMAN DEVELOPMENT</v>
      </c>
    </row>
    <row r="71" spans="1:10" s="12" customFormat="1" ht="22.9" customHeight="1">
      <c r="A71" s="13">
        <v>68</v>
      </c>
      <c r="B71" s="8" t="s">
        <v>99</v>
      </c>
      <c r="C71" s="14">
        <v>0.79500000000000004</v>
      </c>
      <c r="D71" s="15">
        <v>74.936199999999999</v>
      </c>
      <c r="E71" s="15">
        <v>18.662020349999999</v>
      </c>
      <c r="F71" s="15">
        <v>9.0321040000000004</v>
      </c>
      <c r="G71" s="13">
        <v>13483.5774</v>
      </c>
      <c r="H71" s="13">
        <v>18</v>
      </c>
      <c r="I71" s="13">
        <v>70</v>
      </c>
      <c r="J71" s="23" t="str">
        <f t="shared" si="1"/>
        <v>HIGH HUMAN DEVELOPMENT</v>
      </c>
    </row>
    <row r="72" spans="1:10" s="12" customFormat="1" ht="22.9" customHeight="1">
      <c r="A72" s="13">
        <v>70</v>
      </c>
      <c r="B72" s="8" t="s">
        <v>100</v>
      </c>
      <c r="C72" s="14">
        <v>0.79</v>
      </c>
      <c r="D72" s="15">
        <v>77.571399999999997</v>
      </c>
      <c r="E72" s="15">
        <v>15.71338458</v>
      </c>
      <c r="F72" s="15">
        <v>9.852700596</v>
      </c>
      <c r="G72" s="13">
        <v>12306.341</v>
      </c>
      <c r="H72" s="13">
        <v>26</v>
      </c>
      <c r="I72" s="13">
        <v>71</v>
      </c>
      <c r="J72" s="23" t="str">
        <f t="shared" si="1"/>
        <v>HIGH HUMAN DEVELOPMENT</v>
      </c>
    </row>
    <row r="73" spans="1:10" s="12" customFormat="1" ht="22.9" customHeight="1">
      <c r="A73" s="13">
        <v>71</v>
      </c>
      <c r="B73" s="8" t="s">
        <v>102</v>
      </c>
      <c r="C73" s="14">
        <v>0.78800000000000003</v>
      </c>
      <c r="D73" s="15">
        <v>78.496799999999993</v>
      </c>
      <c r="E73" s="15">
        <v>14.18462641</v>
      </c>
      <c r="F73" s="15">
        <v>9.2937407459999992</v>
      </c>
      <c r="G73" s="13">
        <v>16792.365949999999</v>
      </c>
      <c r="H73" s="13">
        <v>2</v>
      </c>
      <c r="I73" s="13">
        <v>71</v>
      </c>
      <c r="J73" s="23" t="str">
        <f t="shared" si="1"/>
        <v>HIGH HUMAN DEVELOPMENT</v>
      </c>
    </row>
    <row r="74" spans="1:10" s="12" customFormat="1" ht="22.9" customHeight="1">
      <c r="A74" s="13">
        <v>72</v>
      </c>
      <c r="B74" s="8" t="s">
        <v>103</v>
      </c>
      <c r="C74" s="14">
        <v>0.78500000000000003</v>
      </c>
      <c r="D74" s="15">
        <v>71.294499999999999</v>
      </c>
      <c r="E74" s="15">
        <v>13.94161034</v>
      </c>
      <c r="F74" s="15">
        <v>10.28312</v>
      </c>
      <c r="G74" s="13">
        <v>25830.617750000001</v>
      </c>
      <c r="H74" s="13">
        <v>-17</v>
      </c>
      <c r="I74" s="13">
        <v>69</v>
      </c>
      <c r="J74" s="23" t="str">
        <f t="shared" si="1"/>
        <v>HIGH HUMAN DEVELOPMENT</v>
      </c>
    </row>
    <row r="75" spans="1:10" s="12" customFormat="1" ht="22.9" customHeight="1">
      <c r="A75" s="13">
        <v>73</v>
      </c>
      <c r="B75" s="8" t="s">
        <v>104</v>
      </c>
      <c r="C75" s="14">
        <v>0.78200000000000003</v>
      </c>
      <c r="D75" s="15">
        <v>76.399100000000004</v>
      </c>
      <c r="E75" s="15">
        <v>14.13990486</v>
      </c>
      <c r="F75" s="15">
        <v>10.82730007</v>
      </c>
      <c r="G75" s="13">
        <v>12578.22055</v>
      </c>
      <c r="H75" s="13">
        <v>21</v>
      </c>
      <c r="I75" s="13">
        <v>75</v>
      </c>
      <c r="J75" s="23" t="str">
        <f t="shared" si="1"/>
        <v>HIGH HUMAN DEVELOPMENT</v>
      </c>
    </row>
    <row r="76" spans="1:10" s="12" customFormat="1" ht="22.9" customHeight="1">
      <c r="A76" s="13">
        <v>74</v>
      </c>
      <c r="B76" s="8" t="s">
        <v>105</v>
      </c>
      <c r="C76" s="14">
        <v>0.78</v>
      </c>
      <c r="D76" s="15">
        <v>75.300299999999993</v>
      </c>
      <c r="E76" s="15">
        <v>13.8</v>
      </c>
      <c r="F76" s="15">
        <v>10.536319730000001</v>
      </c>
      <c r="G76" s="13">
        <v>15241.914650000001</v>
      </c>
      <c r="H76" s="13">
        <v>4</v>
      </c>
      <c r="I76" s="13">
        <v>73</v>
      </c>
      <c r="J76" s="23" t="str">
        <f t="shared" si="1"/>
        <v>HIGH HUMAN DEVELOPMENT</v>
      </c>
    </row>
    <row r="77" spans="1:10" s="12" customFormat="1" ht="22.9" customHeight="1">
      <c r="A77" s="13">
        <v>75</v>
      </c>
      <c r="B77" s="8" t="s">
        <v>106</v>
      </c>
      <c r="C77" s="14">
        <v>0.77700000000000002</v>
      </c>
      <c r="D77" s="15">
        <v>71.682199999999995</v>
      </c>
      <c r="E77" s="15">
        <v>15.42769157</v>
      </c>
      <c r="F77" s="15">
        <v>8.6627449999999993</v>
      </c>
      <c r="G77" s="13">
        <v>23358.332119999999</v>
      </c>
      <c r="H77" s="13">
        <v>-16</v>
      </c>
      <c r="I77" s="13">
        <v>76</v>
      </c>
      <c r="J77" s="23" t="str">
        <f t="shared" si="1"/>
        <v>HIGH HUMAN DEVELOPMENT</v>
      </c>
    </row>
    <row r="78" spans="1:10" s="12" customFormat="1" ht="22.9" customHeight="1">
      <c r="A78" s="13">
        <v>76</v>
      </c>
      <c r="B78" s="8" t="s">
        <v>107</v>
      </c>
      <c r="C78" s="14">
        <v>0.77400000000000002</v>
      </c>
      <c r="D78" s="15">
        <v>73.874899999999997</v>
      </c>
      <c r="E78" s="15">
        <v>14.615249629999999</v>
      </c>
      <c r="F78" s="15">
        <v>10.63645314</v>
      </c>
      <c r="G78" s="13">
        <v>13000.7117</v>
      </c>
      <c r="H78" s="13">
        <v>15</v>
      </c>
      <c r="I78" s="13">
        <v>77</v>
      </c>
      <c r="J78" s="23" t="str">
        <f t="shared" si="1"/>
        <v>HIGH HUMAN DEVELOPMENT</v>
      </c>
    </row>
    <row r="79" spans="1:10" s="12" customFormat="1" ht="22.9" customHeight="1">
      <c r="A79" s="13">
        <v>77</v>
      </c>
      <c r="B79" s="8" t="s">
        <v>108</v>
      </c>
      <c r="C79" s="14">
        <v>0.77300000000000002</v>
      </c>
      <c r="D79" s="15">
        <v>71.623999999999995</v>
      </c>
      <c r="E79" s="15">
        <v>14.956568539999999</v>
      </c>
      <c r="F79" s="15">
        <v>11.13142043</v>
      </c>
      <c r="G79" s="13">
        <v>13255.509770000001</v>
      </c>
      <c r="H79" s="13">
        <v>11</v>
      </c>
      <c r="I79" s="13">
        <v>78</v>
      </c>
      <c r="J79" s="23" t="str">
        <f t="shared" si="1"/>
        <v>HIGH HUMAN DEVELOPMENT</v>
      </c>
    </row>
    <row r="80" spans="1:10" s="12" customFormat="1" ht="22.9" customHeight="1">
      <c r="A80" s="13">
        <v>78</v>
      </c>
      <c r="B80" s="8" t="s">
        <v>109</v>
      </c>
      <c r="C80" s="14">
        <v>0.77</v>
      </c>
      <c r="D80" s="15">
        <v>73.841499999999996</v>
      </c>
      <c r="E80" s="15">
        <v>13.62443234</v>
      </c>
      <c r="F80" s="15">
        <v>10.22815037</v>
      </c>
      <c r="G80" s="13">
        <v>15917.752829999999</v>
      </c>
      <c r="H80" s="13">
        <v>-3</v>
      </c>
      <c r="I80" s="13">
        <v>79</v>
      </c>
      <c r="J80" s="23" t="str">
        <f t="shared" si="1"/>
        <v>HIGH HUMAN DEVELOPMENT</v>
      </c>
    </row>
    <row r="81" spans="1:10" s="12" customFormat="1" ht="22.9" customHeight="1">
      <c r="A81" s="13">
        <v>79</v>
      </c>
      <c r="B81" s="8" t="s">
        <v>110</v>
      </c>
      <c r="C81" s="14">
        <v>0.76800000000000002</v>
      </c>
      <c r="D81" s="15">
        <v>78.210700000000003</v>
      </c>
      <c r="E81" s="15">
        <v>14.2361149</v>
      </c>
      <c r="F81" s="15">
        <v>7.6001184459999998</v>
      </c>
      <c r="G81" s="13">
        <v>17504.399689999998</v>
      </c>
      <c r="H81" s="13">
        <v>-8</v>
      </c>
      <c r="I81" s="13">
        <v>82</v>
      </c>
      <c r="J81" s="23" t="str">
        <f t="shared" si="1"/>
        <v>HIGH HUMAN DEVELOPMENT</v>
      </c>
    </row>
    <row r="82" spans="1:10" s="12" customFormat="1" ht="22.9" customHeight="1">
      <c r="A82" s="13">
        <v>80</v>
      </c>
      <c r="B82" s="8" t="s">
        <v>111</v>
      </c>
      <c r="C82" s="14">
        <v>0.76700000000000002</v>
      </c>
      <c r="D82" s="15">
        <v>72.614599999999996</v>
      </c>
      <c r="E82" s="15">
        <v>14.466558020000001</v>
      </c>
      <c r="F82" s="15">
        <v>9.3068641070000009</v>
      </c>
      <c r="G82" s="13">
        <v>17989.60037</v>
      </c>
      <c r="H82" s="13">
        <v>-11</v>
      </c>
      <c r="I82" s="13">
        <v>82</v>
      </c>
      <c r="J82" s="23" t="str">
        <f t="shared" si="1"/>
        <v>HIGH HUMAN DEVELOPMENT</v>
      </c>
    </row>
    <row r="83" spans="1:10" s="12" customFormat="1" ht="22.9" customHeight="1">
      <c r="A83" s="13">
        <v>80</v>
      </c>
      <c r="B83" s="8" t="s">
        <v>113</v>
      </c>
      <c r="C83" s="14">
        <v>0.76700000000000002</v>
      </c>
      <c r="D83" s="15">
        <v>68.8459</v>
      </c>
      <c r="E83" s="15">
        <v>14.43299961</v>
      </c>
      <c r="F83" s="15">
        <v>11.82159042</v>
      </c>
      <c r="G83" s="13">
        <v>14875.331889999999</v>
      </c>
      <c r="H83" s="13">
        <v>-1</v>
      </c>
      <c r="I83" s="13">
        <v>81</v>
      </c>
      <c r="J83" s="23" t="str">
        <f t="shared" si="1"/>
        <v>HIGH HUMAN DEVELOPMENT</v>
      </c>
    </row>
    <row r="84" spans="1:10" s="12" customFormat="1" ht="22.9" customHeight="1">
      <c r="A84" s="13">
        <v>80</v>
      </c>
      <c r="B84" s="8" t="s">
        <v>114</v>
      </c>
      <c r="C84" s="14">
        <v>0.76700000000000002</v>
      </c>
      <c r="D84" s="15">
        <v>66.020399999999995</v>
      </c>
      <c r="E84" s="15">
        <v>15.784319999999999</v>
      </c>
      <c r="F84" s="15">
        <v>12.491429999999999</v>
      </c>
      <c r="G84" s="13">
        <v>13818.678690000001</v>
      </c>
      <c r="H84" s="13">
        <v>5</v>
      </c>
      <c r="I84" s="13">
        <v>80</v>
      </c>
      <c r="J84" s="23" t="str">
        <f t="shared" si="1"/>
        <v>HIGH HUMAN DEVELOPMENT</v>
      </c>
    </row>
    <row r="85" spans="1:10" s="12" customFormat="1" ht="22.9" customHeight="1">
      <c r="A85" s="13">
        <v>83</v>
      </c>
      <c r="B85" s="8" t="s">
        <v>116</v>
      </c>
      <c r="C85" s="14">
        <v>0.76400000000000001</v>
      </c>
      <c r="D85" s="15">
        <v>73.682900000000004</v>
      </c>
      <c r="E85" s="15">
        <v>14.44305992</v>
      </c>
      <c r="F85" s="15">
        <v>12.497734380000001</v>
      </c>
      <c r="G85" s="13">
        <v>7878.8474820000001</v>
      </c>
      <c r="H85" s="13">
        <v>37</v>
      </c>
      <c r="I85" s="13">
        <v>73</v>
      </c>
      <c r="J85" s="23" t="str">
        <f t="shared" si="1"/>
        <v>HIGH HUMAN DEVELOPMENT</v>
      </c>
    </row>
    <row r="86" spans="1:10" s="12" customFormat="1" ht="22.9" customHeight="1">
      <c r="A86" s="13">
        <v>84</v>
      </c>
      <c r="B86" s="8" t="s">
        <v>118</v>
      </c>
      <c r="C86" s="14">
        <v>0.76200000000000001</v>
      </c>
      <c r="D86" s="15">
        <v>72.376900000000006</v>
      </c>
      <c r="E86" s="15">
        <v>15.387733539999999</v>
      </c>
      <c r="F86" s="15">
        <v>9.8855188629999997</v>
      </c>
      <c r="G86" s="13">
        <v>12245.89366</v>
      </c>
      <c r="H86" s="13">
        <v>13</v>
      </c>
      <c r="I86" s="13">
        <v>85</v>
      </c>
      <c r="J86" s="23" t="str">
        <f t="shared" si="1"/>
        <v>HIGH HUMAN DEVELOPMENT</v>
      </c>
    </row>
    <row r="87" spans="1:10" s="12" customFormat="1" ht="22.9" customHeight="1">
      <c r="A87" s="13">
        <v>85</v>
      </c>
      <c r="B87" s="8" t="s">
        <v>119</v>
      </c>
      <c r="C87" s="14">
        <v>0.75900000000000001</v>
      </c>
      <c r="D87" s="15">
        <v>72.043099999999995</v>
      </c>
      <c r="E87" s="15">
        <v>13.11676025</v>
      </c>
      <c r="F87" s="15">
        <v>11.33030033</v>
      </c>
      <c r="G87" s="13">
        <v>13157.993899999999</v>
      </c>
      <c r="H87" s="13">
        <v>4</v>
      </c>
      <c r="I87" s="13">
        <v>87</v>
      </c>
      <c r="J87" s="23" t="str">
        <f t="shared" si="1"/>
        <v>HIGH HUMAN DEVELOPMENT</v>
      </c>
    </row>
    <row r="88" spans="1:10" s="12" customFormat="1" ht="22.9" customHeight="1">
      <c r="A88" s="13">
        <v>86</v>
      </c>
      <c r="B88" s="8" t="s">
        <v>120</v>
      </c>
      <c r="C88" s="14">
        <v>0.75800000000000001</v>
      </c>
      <c r="D88" s="15">
        <v>70.212699999999998</v>
      </c>
      <c r="E88" s="15">
        <v>14.86443996</v>
      </c>
      <c r="F88" s="15">
        <v>9.2210502620000003</v>
      </c>
      <c r="G88" s="13">
        <v>17896.294979999999</v>
      </c>
      <c r="H88" s="13">
        <v>-16</v>
      </c>
      <c r="I88" s="13">
        <v>88</v>
      </c>
      <c r="J88" s="23" t="str">
        <f t="shared" si="1"/>
        <v>HIGH HUMAN DEVELOPMENT</v>
      </c>
    </row>
    <row r="89" spans="1:10" s="12" customFormat="1" ht="22.9" customHeight="1">
      <c r="A89" s="13">
        <v>87</v>
      </c>
      <c r="B89" s="8" t="s">
        <v>121</v>
      </c>
      <c r="C89" s="14">
        <v>0.754</v>
      </c>
      <c r="D89" s="15">
        <v>72.750399999999999</v>
      </c>
      <c r="E89" s="15">
        <v>15.599060059999999</v>
      </c>
      <c r="F89" s="15">
        <v>8.128813955</v>
      </c>
      <c r="G89" s="13">
        <v>14369.88848</v>
      </c>
      <c r="H89" s="13">
        <v>-5</v>
      </c>
      <c r="I89" s="13">
        <v>86</v>
      </c>
      <c r="J89" s="23" t="str">
        <f t="shared" si="1"/>
        <v>HIGH HUMAN DEVELOPMENT</v>
      </c>
    </row>
    <row r="90" spans="1:10" s="12" customFormat="1" ht="22.9" customHeight="1">
      <c r="A90" s="13">
        <v>88</v>
      </c>
      <c r="B90" s="8" t="s">
        <v>122</v>
      </c>
      <c r="C90" s="14">
        <v>0.752</v>
      </c>
      <c r="D90" s="15">
        <v>72.829599999999999</v>
      </c>
      <c r="E90" s="15">
        <v>14.44274998</v>
      </c>
      <c r="F90" s="15">
        <v>8.8628597259999999</v>
      </c>
      <c r="G90" s="13">
        <v>14384.356659999999</v>
      </c>
      <c r="H90" s="13">
        <v>-7</v>
      </c>
      <c r="I90" s="13">
        <v>88</v>
      </c>
      <c r="J90" s="23" t="str">
        <f t="shared" si="1"/>
        <v>HIGH HUMAN DEVELOPMENT</v>
      </c>
    </row>
    <row r="91" spans="1:10" s="12" customFormat="1" ht="22.9" customHeight="1">
      <c r="A91" s="13">
        <v>89</v>
      </c>
      <c r="B91" s="8" t="s">
        <v>123</v>
      </c>
      <c r="C91" s="14">
        <v>0.751</v>
      </c>
      <c r="D91" s="15">
        <v>69.629099999999994</v>
      </c>
      <c r="E91" s="15">
        <v>14.67220567</v>
      </c>
      <c r="F91" s="15">
        <v>10.833430290000001</v>
      </c>
      <c r="G91" s="13">
        <v>11961.08792</v>
      </c>
      <c r="H91" s="13">
        <v>11</v>
      </c>
      <c r="I91" s="13">
        <v>82</v>
      </c>
      <c r="J91" s="23" t="str">
        <f t="shared" si="1"/>
        <v>HIGH HUMAN DEVELOPMENT</v>
      </c>
    </row>
    <row r="92" spans="1:10" s="12" customFormat="1" ht="22.9" customHeight="1">
      <c r="A92" s="13">
        <v>90</v>
      </c>
      <c r="B92" s="8" t="s">
        <v>124</v>
      </c>
      <c r="C92" s="14">
        <v>0.747</v>
      </c>
      <c r="D92" s="15">
        <v>79.918199999999999</v>
      </c>
      <c r="E92" s="15">
        <v>12.635609629999999</v>
      </c>
      <c r="F92" s="15">
        <v>7.3220000000000001</v>
      </c>
      <c r="G92" s="13">
        <v>15448.12788</v>
      </c>
      <c r="H92" s="13">
        <v>-14</v>
      </c>
      <c r="I92" s="13">
        <v>97</v>
      </c>
      <c r="J92" s="23" t="str">
        <f t="shared" si="1"/>
        <v>HIGH HUMAN DEVELOPMENT</v>
      </c>
    </row>
    <row r="93" spans="1:10" s="12" customFormat="1" ht="22.9" customHeight="1">
      <c r="A93" s="13">
        <v>91</v>
      </c>
      <c r="B93" s="8" t="s">
        <v>125</v>
      </c>
      <c r="C93" s="14">
        <v>0.745</v>
      </c>
      <c r="D93" s="15">
        <v>76.3767</v>
      </c>
      <c r="E93" s="15">
        <v>14.62689602</v>
      </c>
      <c r="F93" s="15">
        <v>8.0692843970000006</v>
      </c>
      <c r="G93" s="13">
        <v>10800.22546</v>
      </c>
      <c r="H93" s="13">
        <v>13</v>
      </c>
      <c r="I93" s="13">
        <v>96</v>
      </c>
      <c r="J93" s="23" t="str">
        <f t="shared" si="1"/>
        <v>HIGH HUMAN DEVELOPMENT</v>
      </c>
    </row>
    <row r="94" spans="1:10" s="12" customFormat="1" ht="22.9" customHeight="1">
      <c r="A94" s="13">
        <v>91</v>
      </c>
      <c r="B94" s="8" t="s">
        <v>126</v>
      </c>
      <c r="C94" s="14">
        <v>0.745</v>
      </c>
      <c r="D94" s="15">
        <v>69.365799999999993</v>
      </c>
      <c r="E94" s="15">
        <v>13.496890069999999</v>
      </c>
      <c r="F94" s="15">
        <v>10.5429697</v>
      </c>
      <c r="G94" s="13">
        <v>14256.744559999999</v>
      </c>
      <c r="H94" s="13">
        <v>-8</v>
      </c>
      <c r="I94" s="13">
        <v>100</v>
      </c>
      <c r="J94" s="23" t="str">
        <f t="shared" si="1"/>
        <v>HIGH HUMAN DEVELOPMENT</v>
      </c>
    </row>
    <row r="95" spans="1:10" s="12" customFormat="1" ht="22.9" customHeight="1">
      <c r="A95" s="13">
        <v>91</v>
      </c>
      <c r="B95" s="8" t="s">
        <v>127</v>
      </c>
      <c r="C95" s="14">
        <v>0.745</v>
      </c>
      <c r="D95" s="15">
        <v>70.985699999999994</v>
      </c>
      <c r="E95" s="15">
        <v>16.04857063</v>
      </c>
      <c r="F95" s="15">
        <v>11.392594000000001</v>
      </c>
      <c r="G95" s="13">
        <v>6822.03125</v>
      </c>
      <c r="H95" s="13">
        <v>34</v>
      </c>
      <c r="I95" s="13">
        <v>90</v>
      </c>
      <c r="J95" s="23" t="str">
        <f t="shared" si="1"/>
        <v>HIGH HUMAN DEVELOPMENT</v>
      </c>
    </row>
    <row r="96" spans="1:10" s="12" customFormat="1" ht="22.9" customHeight="1">
      <c r="A96" s="13">
        <v>91</v>
      </c>
      <c r="B96" s="8" t="s">
        <v>128</v>
      </c>
      <c r="C96" s="14">
        <v>0.745</v>
      </c>
      <c r="D96" s="15">
        <v>69.264399999999995</v>
      </c>
      <c r="E96" s="15">
        <v>13.21039963</v>
      </c>
      <c r="F96" s="15">
        <v>11.26139</v>
      </c>
      <c r="G96" s="13">
        <v>13020.7155</v>
      </c>
      <c r="H96" s="13">
        <v>-1</v>
      </c>
      <c r="I96" s="13">
        <v>93</v>
      </c>
      <c r="J96" s="23" t="str">
        <f t="shared" si="1"/>
        <v>HIGH HUMAN DEVELOPMENT</v>
      </c>
    </row>
    <row r="97" spans="1:10" s="12" customFormat="1" ht="22.9" customHeight="1">
      <c r="A97" s="13">
        <v>95</v>
      </c>
      <c r="B97" s="8" t="s">
        <v>129</v>
      </c>
      <c r="C97" s="14">
        <v>0.74</v>
      </c>
      <c r="D97" s="15">
        <v>73.67</v>
      </c>
      <c r="E97" s="15">
        <v>14.62423038</v>
      </c>
      <c r="F97" s="15">
        <v>8.8171195979999997</v>
      </c>
      <c r="G97" s="13">
        <v>10311.632729999999</v>
      </c>
      <c r="H97" s="13">
        <v>11</v>
      </c>
      <c r="I97" s="13">
        <v>99</v>
      </c>
      <c r="J97" s="23" t="str">
        <f t="shared" si="1"/>
        <v>HIGH HUMAN DEVELOPMENT</v>
      </c>
    </row>
    <row r="98" spans="1:10" s="12" customFormat="1" ht="22.9" customHeight="1">
      <c r="A98" s="13">
        <v>96</v>
      </c>
      <c r="B98" s="8" t="s">
        <v>130</v>
      </c>
      <c r="C98" s="14">
        <v>0.73899999999999999</v>
      </c>
      <c r="D98" s="15">
        <v>70.975399999999993</v>
      </c>
      <c r="E98" s="15">
        <v>14.980349540000001</v>
      </c>
      <c r="F98" s="15">
        <v>9.4237003329999993</v>
      </c>
      <c r="G98" s="13">
        <v>10588.22532</v>
      </c>
      <c r="H98" s="13">
        <v>9</v>
      </c>
      <c r="I98" s="13">
        <v>90</v>
      </c>
      <c r="J98" s="23" t="str">
        <f t="shared" si="1"/>
        <v>HIGH HUMAN DEVELOPMENT</v>
      </c>
    </row>
    <row r="99" spans="1:10" s="12" customFormat="1" ht="22.9" customHeight="1">
      <c r="A99" s="13">
        <v>97</v>
      </c>
      <c r="B99" s="8" t="s">
        <v>131</v>
      </c>
      <c r="C99" s="14">
        <v>0.73099999999999998</v>
      </c>
      <c r="D99" s="15">
        <v>70.220699999999994</v>
      </c>
      <c r="E99" s="15">
        <v>13.78649972</v>
      </c>
      <c r="F99" s="15">
        <v>9.5730261740000007</v>
      </c>
      <c r="G99" s="13">
        <v>11731.690559999999</v>
      </c>
      <c r="H99" s="13">
        <v>4</v>
      </c>
      <c r="I99" s="13">
        <v>97</v>
      </c>
      <c r="J99" s="23" t="str">
        <f t="shared" si="1"/>
        <v>HIGH HUMAN DEVELOPMENT</v>
      </c>
    </row>
    <row r="100" spans="1:10" s="12" customFormat="1" ht="22.9" customHeight="1">
      <c r="A100" s="13">
        <v>97</v>
      </c>
      <c r="B100" s="8" t="s">
        <v>132</v>
      </c>
      <c r="C100" s="14">
        <v>0.73099999999999998</v>
      </c>
      <c r="D100" s="15">
        <v>73.771900000000002</v>
      </c>
      <c r="E100" s="15">
        <v>15.425382239999999</v>
      </c>
      <c r="F100" s="15">
        <v>7.4315986140000003</v>
      </c>
      <c r="G100" s="13">
        <v>10257.54477</v>
      </c>
      <c r="H100" s="13">
        <v>10</v>
      </c>
      <c r="I100" s="13">
        <v>94</v>
      </c>
      <c r="J100" s="23" t="str">
        <f t="shared" ref="J100:J131" si="2">IF(A100&gt;159,"LOW HUMAN DEVELOPMENT",IF(A100&gt;115,"MEDIUM HUMAN DEVELOPMENT",IF(A100&gt;=67,"HIGH HUMAN DEVELOPMENT",IF(A100&lt;67,"VERY HIGH HUMAN DEVELOPMENT","Invalid"))))</f>
        <v>HIGH HUMAN DEVELOPMENT</v>
      </c>
    </row>
    <row r="101" spans="1:10" s="12" customFormat="1" ht="22.9" customHeight="1">
      <c r="A101" s="13">
        <v>99</v>
      </c>
      <c r="B101" s="8" t="s">
        <v>133</v>
      </c>
      <c r="C101" s="14">
        <v>0.73</v>
      </c>
      <c r="D101" s="15">
        <v>67.114000000000004</v>
      </c>
      <c r="E101" s="15">
        <v>14.736789999999999</v>
      </c>
      <c r="F101" s="15">
        <v>10.921547990000001</v>
      </c>
      <c r="G101" s="13">
        <v>9980.1108660000009</v>
      </c>
      <c r="H101" s="13">
        <v>9</v>
      </c>
      <c r="I101" s="13">
        <v>94</v>
      </c>
      <c r="J101" s="23" t="str">
        <f t="shared" si="2"/>
        <v>HIGH HUMAN DEVELOPMENT</v>
      </c>
    </row>
    <row r="102" spans="1:10" s="12" customFormat="1" ht="22.9" customHeight="1">
      <c r="A102" s="13">
        <v>99</v>
      </c>
      <c r="B102" s="8" t="s">
        <v>134</v>
      </c>
      <c r="C102" s="14">
        <v>0.73</v>
      </c>
      <c r="D102" s="15">
        <v>70.274299999999997</v>
      </c>
      <c r="E102" s="15">
        <v>13.03564357</v>
      </c>
      <c r="F102" s="15">
        <v>9.7768006300000003</v>
      </c>
      <c r="G102" s="13">
        <v>12672.20033</v>
      </c>
      <c r="H102" s="13">
        <v>-6</v>
      </c>
      <c r="I102" s="13">
        <v>92</v>
      </c>
      <c r="J102" s="23" t="str">
        <f t="shared" si="2"/>
        <v>HIGH HUMAN DEVELOPMENT</v>
      </c>
    </row>
    <row r="103" spans="1:10" s="12" customFormat="1" ht="22.9" customHeight="1">
      <c r="A103" s="13">
        <v>101</v>
      </c>
      <c r="B103" s="8" t="s">
        <v>135</v>
      </c>
      <c r="C103" s="14">
        <v>0.72699999999999998</v>
      </c>
      <c r="D103" s="15">
        <v>70.861599999999996</v>
      </c>
      <c r="E103" s="15">
        <v>12.47714043</v>
      </c>
      <c r="F103" s="15">
        <v>11.89558983</v>
      </c>
      <c r="G103" s="13">
        <v>7916.7857249999997</v>
      </c>
      <c r="H103" s="13">
        <v>18</v>
      </c>
      <c r="I103" s="13">
        <v>107</v>
      </c>
      <c r="J103" s="23" t="str">
        <f t="shared" si="2"/>
        <v>HIGH HUMAN DEVELOPMENT</v>
      </c>
    </row>
    <row r="104" spans="1:10" s="12" customFormat="1" ht="22.9" customHeight="1">
      <c r="A104" s="13">
        <v>102</v>
      </c>
      <c r="B104" s="8" t="s">
        <v>136</v>
      </c>
      <c r="C104" s="14">
        <v>0.72</v>
      </c>
      <c r="D104" s="15">
        <v>72.813999999999993</v>
      </c>
      <c r="E104" s="15">
        <v>13.319186200000001</v>
      </c>
      <c r="F104" s="15">
        <v>8.1421860000000006</v>
      </c>
      <c r="G104" s="13">
        <v>11487.62422</v>
      </c>
      <c r="H104" s="13">
        <v>0</v>
      </c>
      <c r="I104" s="13">
        <v>106</v>
      </c>
      <c r="J104" s="23" t="str">
        <f t="shared" si="2"/>
        <v>HIGH HUMAN DEVELOPMENT</v>
      </c>
    </row>
    <row r="105" spans="1:10" s="12" customFormat="1" ht="22.9" customHeight="1">
      <c r="A105" s="13">
        <v>102</v>
      </c>
      <c r="B105" s="8" t="s">
        <v>137</v>
      </c>
      <c r="C105" s="14">
        <v>0.72</v>
      </c>
      <c r="D105" s="15">
        <v>74.256299999999996</v>
      </c>
      <c r="E105" s="15">
        <v>10.646559720000001</v>
      </c>
      <c r="F105" s="15">
        <v>10.446680069999999</v>
      </c>
      <c r="G105" s="13">
        <v>9923.7149740000004</v>
      </c>
      <c r="H105" s="13">
        <v>8</v>
      </c>
      <c r="I105" s="13">
        <v>104</v>
      </c>
      <c r="J105" s="23" t="str">
        <f t="shared" si="2"/>
        <v>HIGH HUMAN DEVELOPMENT</v>
      </c>
    </row>
    <row r="106" spans="1:10" s="12" customFormat="1" ht="22.9" customHeight="1">
      <c r="A106" s="13">
        <v>104</v>
      </c>
      <c r="B106" s="8" t="s">
        <v>138</v>
      </c>
      <c r="C106" s="14">
        <v>0.71799999999999997</v>
      </c>
      <c r="D106" s="15">
        <v>71.911199999999994</v>
      </c>
      <c r="E106" s="15">
        <v>12.854279999999999</v>
      </c>
      <c r="F106" s="15">
        <v>7.5999850000000002</v>
      </c>
      <c r="G106" s="13">
        <v>15335.712</v>
      </c>
      <c r="H106" s="13">
        <v>-27</v>
      </c>
      <c r="I106" s="13">
        <v>117</v>
      </c>
      <c r="J106" s="23" t="str">
        <f t="shared" si="2"/>
        <v>HIGH HUMAN DEVELOPMENT</v>
      </c>
    </row>
    <row r="107" spans="1:10" s="12" customFormat="1" ht="22.9" customHeight="1">
      <c r="A107" s="13">
        <v>105</v>
      </c>
      <c r="B107" s="8" t="s">
        <v>140</v>
      </c>
      <c r="C107" s="14">
        <v>0.71699999999999997</v>
      </c>
      <c r="D107" s="15">
        <v>70.261700000000005</v>
      </c>
      <c r="E107" s="15">
        <v>12.987991129999999</v>
      </c>
      <c r="F107" s="15">
        <v>8.861840248</v>
      </c>
      <c r="G107" s="13">
        <v>12349.286</v>
      </c>
      <c r="H107" s="13">
        <v>-10</v>
      </c>
      <c r="I107" s="13">
        <v>100</v>
      </c>
      <c r="J107" s="23" t="str">
        <f t="shared" si="2"/>
        <v>HIGH HUMAN DEVELOPMENT</v>
      </c>
    </row>
    <row r="108" spans="1:10" s="12" customFormat="1" ht="22.9" customHeight="1">
      <c r="A108" s="13">
        <v>106</v>
      </c>
      <c r="B108" s="8" t="s">
        <v>141</v>
      </c>
      <c r="C108" s="14">
        <v>0.71499999999999997</v>
      </c>
      <c r="D108" s="15">
        <v>73.472700000000003</v>
      </c>
      <c r="E108" s="15">
        <v>13.358010289999999</v>
      </c>
      <c r="F108" s="15">
        <v>9.9384803769999994</v>
      </c>
      <c r="G108" s="13">
        <v>6582.8994160000002</v>
      </c>
      <c r="H108" s="13">
        <v>21</v>
      </c>
      <c r="I108" s="13">
        <v>109</v>
      </c>
      <c r="J108" s="23" t="str">
        <f t="shared" si="2"/>
        <v>HIGH HUMAN DEVELOPMENT</v>
      </c>
    </row>
    <row r="109" spans="1:10" s="12" customFormat="1" ht="22.9" customHeight="1">
      <c r="A109" s="13">
        <v>106</v>
      </c>
      <c r="B109" s="8" t="s">
        <v>142</v>
      </c>
      <c r="C109" s="14">
        <v>0.71499999999999997</v>
      </c>
      <c r="D109" s="15">
        <v>71.111400000000003</v>
      </c>
      <c r="E109" s="15">
        <v>12.866109850000001</v>
      </c>
      <c r="F109" s="15">
        <v>8.5450401310000004</v>
      </c>
      <c r="G109" s="13">
        <v>12048.303809999999</v>
      </c>
      <c r="H109" s="13">
        <v>-7</v>
      </c>
      <c r="I109" s="13">
        <v>104</v>
      </c>
      <c r="J109" s="23" t="str">
        <f t="shared" si="2"/>
        <v>HIGH HUMAN DEVELOPMENT</v>
      </c>
    </row>
    <row r="110" spans="1:10" s="12" customFormat="1" ht="22.9" customHeight="1">
      <c r="A110" s="13">
        <v>108</v>
      </c>
      <c r="B110" s="8" t="s">
        <v>143</v>
      </c>
      <c r="C110" s="14">
        <v>0.71399999999999997</v>
      </c>
      <c r="D110" s="15">
        <v>65.673400000000001</v>
      </c>
      <c r="E110" s="15">
        <v>12.502722159999999</v>
      </c>
      <c r="F110" s="15">
        <v>8.6174769999999992</v>
      </c>
      <c r="G110" s="13">
        <v>22464.657340000002</v>
      </c>
      <c r="H110" s="13">
        <v>-47</v>
      </c>
      <c r="I110" s="13">
        <v>107</v>
      </c>
      <c r="J110" s="23" t="str">
        <f t="shared" si="2"/>
        <v>HIGH HUMAN DEVELOPMENT</v>
      </c>
    </row>
    <row r="111" spans="1:10" s="12" customFormat="1" ht="22.9" customHeight="1">
      <c r="A111" s="13">
        <v>109</v>
      </c>
      <c r="B111" s="8" t="s">
        <v>144</v>
      </c>
      <c r="C111" s="14">
        <v>0.71299999999999997</v>
      </c>
      <c r="D111" s="15">
        <v>62.341000000000001</v>
      </c>
      <c r="E111" s="15">
        <v>13.64371014</v>
      </c>
      <c r="F111" s="15">
        <v>11.37316036</v>
      </c>
      <c r="G111" s="13">
        <v>12948.373250000001</v>
      </c>
      <c r="H111" s="13">
        <v>-17</v>
      </c>
      <c r="I111" s="13">
        <v>102</v>
      </c>
      <c r="J111" s="23" t="str">
        <f t="shared" si="2"/>
        <v>HIGH HUMAN DEVELOPMENT</v>
      </c>
    </row>
    <row r="112" spans="1:10" s="12" customFormat="1" ht="22.9" customHeight="1">
      <c r="A112" s="13">
        <v>110</v>
      </c>
      <c r="B112" s="8" t="s">
        <v>145</v>
      </c>
      <c r="C112" s="14">
        <v>0.70899999999999996</v>
      </c>
      <c r="D112" s="15">
        <v>70.500299999999996</v>
      </c>
      <c r="E112" s="15">
        <v>13.40492042</v>
      </c>
      <c r="F112" s="15">
        <v>9.1546286610000003</v>
      </c>
      <c r="G112" s="13">
        <v>8834.4756699999998</v>
      </c>
      <c r="H112" s="13">
        <v>4</v>
      </c>
      <c r="I112" s="13">
        <v>110</v>
      </c>
      <c r="J112" s="23" t="str">
        <f t="shared" si="2"/>
        <v>HIGH HUMAN DEVELOPMENT</v>
      </c>
    </row>
    <row r="113" spans="1:10" s="12" customFormat="1" ht="22.9" customHeight="1">
      <c r="A113" s="13">
        <v>111</v>
      </c>
      <c r="B113" s="8" t="s">
        <v>146</v>
      </c>
      <c r="C113" s="14">
        <v>0.70699999999999996</v>
      </c>
      <c r="D113" s="15">
        <v>72.767499999999998</v>
      </c>
      <c r="E113" s="15">
        <v>12.41885948</v>
      </c>
      <c r="F113" s="15">
        <v>11.4038</v>
      </c>
      <c r="G113" s="13">
        <v>5307.9533739999997</v>
      </c>
      <c r="H113" s="13">
        <v>24</v>
      </c>
      <c r="I113" s="13">
        <v>112</v>
      </c>
      <c r="J113" s="23" t="str">
        <f t="shared" si="2"/>
        <v>HIGH HUMAN DEVELOPMENT</v>
      </c>
    </row>
    <row r="114" spans="1:10" s="12" customFormat="1" ht="22.9" customHeight="1">
      <c r="A114" s="13">
        <v>112</v>
      </c>
      <c r="B114" s="8" t="s">
        <v>147</v>
      </c>
      <c r="C114" s="14">
        <v>0.70599999999999996</v>
      </c>
      <c r="D114" s="15">
        <v>65.820999999999998</v>
      </c>
      <c r="E114" s="15">
        <v>12.977309999999999</v>
      </c>
      <c r="F114" s="15">
        <v>9.4359999999999999</v>
      </c>
      <c r="G114" s="13">
        <v>13366.93455</v>
      </c>
      <c r="H114" s="13">
        <v>-25</v>
      </c>
      <c r="I114" s="13">
        <v>113</v>
      </c>
      <c r="J114" s="23" t="str">
        <f t="shared" si="2"/>
        <v>HIGH HUMAN DEVELOPMENT</v>
      </c>
    </row>
    <row r="115" spans="1:10" s="12" customFormat="1" ht="22.9" customHeight="1">
      <c r="A115" s="13">
        <v>112</v>
      </c>
      <c r="B115" s="8" t="s">
        <v>148</v>
      </c>
      <c r="C115" s="14">
        <v>0.70599999999999996</v>
      </c>
      <c r="D115" s="15">
        <v>75.047200000000004</v>
      </c>
      <c r="E115" s="15">
        <v>11.285869999999999</v>
      </c>
      <c r="F115" s="15">
        <v>8.7186360000000001</v>
      </c>
      <c r="G115" s="13">
        <v>9525.831467</v>
      </c>
      <c r="H115" s="13">
        <v>-1</v>
      </c>
      <c r="I115" s="13">
        <v>103</v>
      </c>
      <c r="J115" s="23" t="str">
        <f t="shared" si="2"/>
        <v>HIGH HUMAN DEVELOPMENT</v>
      </c>
    </row>
    <row r="116" spans="1:10" s="12" customFormat="1" ht="22.9" customHeight="1">
      <c r="A116" s="13">
        <v>114</v>
      </c>
      <c r="B116" s="8" t="s">
        <v>149</v>
      </c>
      <c r="C116" s="14">
        <v>0.70499999999999996</v>
      </c>
      <c r="D116" s="15">
        <v>67.570300000000003</v>
      </c>
      <c r="E116" s="15">
        <v>13.748893860000001</v>
      </c>
      <c r="F116" s="15">
        <v>8.5565099720000006</v>
      </c>
      <c r="G116" s="13">
        <v>11466.068359999999</v>
      </c>
      <c r="H116" s="13">
        <v>-11</v>
      </c>
      <c r="I116" s="13">
        <v>116</v>
      </c>
      <c r="J116" s="23" t="str">
        <f t="shared" si="2"/>
        <v>HIGH HUMAN DEVELOPMENT</v>
      </c>
    </row>
    <row r="117" spans="1:10" s="12" customFormat="1" ht="22.9" customHeight="1">
      <c r="A117" s="13">
        <v>115</v>
      </c>
      <c r="B117" s="8" t="s">
        <v>150</v>
      </c>
      <c r="C117" s="14">
        <v>0.70299999999999996</v>
      </c>
      <c r="D117" s="15">
        <v>73.618099999999998</v>
      </c>
      <c r="E117" s="15">
        <v>12.9519325</v>
      </c>
      <c r="F117" s="15">
        <v>8.370280266</v>
      </c>
      <c r="G117" s="13">
        <v>7867.3713449999996</v>
      </c>
      <c r="H117" s="13">
        <v>6</v>
      </c>
      <c r="I117" s="13">
        <v>113</v>
      </c>
      <c r="J117" s="23" t="str">
        <f t="shared" si="2"/>
        <v>HIGH HUMAN DEVELOPMENT</v>
      </c>
    </row>
    <row r="118" spans="1:10" s="12" customFormat="1" ht="22.9" customHeight="1">
      <c r="A118" s="13">
        <v>116</v>
      </c>
      <c r="B118" s="8" t="s">
        <v>153</v>
      </c>
      <c r="C118" s="14">
        <v>0.69899999999999995</v>
      </c>
      <c r="D118" s="15">
        <v>69.266400000000004</v>
      </c>
      <c r="E118" s="15">
        <v>13.12656975</v>
      </c>
      <c r="F118" s="15">
        <v>8.9690999980000008</v>
      </c>
      <c r="G118" s="13">
        <v>8920.4284680000001</v>
      </c>
      <c r="H118" s="13">
        <v>-3</v>
      </c>
      <c r="I118" s="13">
        <v>113</v>
      </c>
      <c r="J118" s="23" t="str">
        <f t="shared" si="2"/>
        <v>MEDIUM HUMAN DEVELOPMENT</v>
      </c>
    </row>
    <row r="119" spans="1:10" s="12" customFormat="1" ht="22.9" customHeight="1">
      <c r="A119" s="13">
        <v>117</v>
      </c>
      <c r="B119" s="8" t="s">
        <v>154</v>
      </c>
      <c r="C119" s="14">
        <v>0.69299999999999995</v>
      </c>
      <c r="D119" s="15">
        <v>61.140900000000002</v>
      </c>
      <c r="E119" s="15">
        <v>12.26513765</v>
      </c>
      <c r="F119" s="15">
        <v>10.34</v>
      </c>
      <c r="G119" s="13">
        <v>16198.31841</v>
      </c>
      <c r="H119" s="13">
        <v>-43</v>
      </c>
      <c r="I119" s="13">
        <v>110</v>
      </c>
      <c r="J119" s="23" t="str">
        <f t="shared" si="2"/>
        <v>MEDIUM HUMAN DEVELOPMENT</v>
      </c>
    </row>
    <row r="120" spans="1:10" s="12" customFormat="1" ht="22.9" customHeight="1">
      <c r="A120" s="13">
        <v>118</v>
      </c>
      <c r="B120" s="8" t="s">
        <v>155</v>
      </c>
      <c r="C120" s="14">
        <v>0.69199999999999995</v>
      </c>
      <c r="D120" s="15">
        <v>63.630400000000002</v>
      </c>
      <c r="E120" s="15">
        <v>14.94697094</v>
      </c>
      <c r="F120" s="15">
        <v>9.8277502059999993</v>
      </c>
      <c r="G120" s="13">
        <v>8111.1901939999998</v>
      </c>
      <c r="H120" s="13">
        <v>0</v>
      </c>
      <c r="I120" s="13">
        <v>119</v>
      </c>
      <c r="J120" s="23" t="str">
        <f t="shared" si="2"/>
        <v>MEDIUM HUMAN DEVELOPMENT</v>
      </c>
    </row>
    <row r="121" spans="1:10" s="12" customFormat="1" ht="22.9" customHeight="1">
      <c r="A121" s="13">
        <v>118</v>
      </c>
      <c r="B121" s="8" t="s">
        <v>156</v>
      </c>
      <c r="C121" s="14">
        <v>0.69199999999999995</v>
      </c>
      <c r="D121" s="15">
        <v>69.977400000000003</v>
      </c>
      <c r="E121" s="15">
        <v>13.195300100000001</v>
      </c>
      <c r="F121" s="15">
        <v>11.37410556</v>
      </c>
      <c r="G121" s="13">
        <v>4566.3038310000002</v>
      </c>
      <c r="H121" s="13">
        <v>26</v>
      </c>
      <c r="I121" s="13">
        <v>121</v>
      </c>
      <c r="J121" s="23" t="str">
        <f t="shared" si="2"/>
        <v>MEDIUM HUMAN DEVELOPMENT</v>
      </c>
    </row>
    <row r="122" spans="1:10" s="12" customFormat="1" ht="22.9" customHeight="1">
      <c r="A122" s="13">
        <v>120</v>
      </c>
      <c r="B122" s="8" t="s">
        <v>157</v>
      </c>
      <c r="C122" s="14">
        <v>0.69099999999999995</v>
      </c>
      <c r="D122" s="15">
        <v>70.553600000000003</v>
      </c>
      <c r="E122" s="15">
        <v>12.816079999999999</v>
      </c>
      <c r="F122" s="15">
        <v>11.107277359999999</v>
      </c>
      <c r="G122" s="13">
        <v>4810.8826209999997</v>
      </c>
      <c r="H122" s="13">
        <v>20</v>
      </c>
      <c r="I122" s="13">
        <v>118</v>
      </c>
      <c r="J122" s="23" t="str">
        <f t="shared" si="2"/>
        <v>MEDIUM HUMAN DEVELOPMENT</v>
      </c>
    </row>
    <row r="123" spans="1:10" s="12" customFormat="1" ht="22.9" customHeight="1">
      <c r="A123" s="13">
        <v>121</v>
      </c>
      <c r="B123" s="8" t="s">
        <v>159</v>
      </c>
      <c r="C123" s="14">
        <v>0.68600000000000005</v>
      </c>
      <c r="D123" s="15">
        <v>70.377899999999997</v>
      </c>
      <c r="E123" s="15">
        <v>12.087473170000001</v>
      </c>
      <c r="F123" s="15">
        <v>7.9055934890000001</v>
      </c>
      <c r="G123" s="13">
        <v>9977.2490730000009</v>
      </c>
      <c r="H123" s="13">
        <v>-12</v>
      </c>
      <c r="I123" s="13">
        <v>122</v>
      </c>
      <c r="J123" s="23" t="str">
        <f t="shared" si="2"/>
        <v>MEDIUM HUMAN DEVELOPMENT</v>
      </c>
    </row>
    <row r="124" spans="1:10" s="12" customFormat="1" ht="22.9" customHeight="1">
      <c r="A124" s="13">
        <v>122</v>
      </c>
      <c r="B124" s="8" t="s">
        <v>160</v>
      </c>
      <c r="C124" s="14">
        <v>0.68500000000000005</v>
      </c>
      <c r="D124" s="15">
        <v>71.594200000000001</v>
      </c>
      <c r="E124" s="15">
        <v>11.653036180000001</v>
      </c>
      <c r="F124" s="15">
        <v>11.3333938</v>
      </c>
      <c r="G124" s="13">
        <v>4547.7424270000001</v>
      </c>
      <c r="H124" s="13">
        <v>23</v>
      </c>
      <c r="I124" s="13">
        <v>126</v>
      </c>
      <c r="J124" s="23" t="str">
        <f t="shared" si="2"/>
        <v>MEDIUM HUMAN DEVELOPMENT</v>
      </c>
    </row>
    <row r="125" spans="1:10" s="12" customFormat="1" ht="22.9" customHeight="1">
      <c r="A125" s="13">
        <v>123</v>
      </c>
      <c r="B125" s="8" t="s">
        <v>161</v>
      </c>
      <c r="C125" s="14">
        <v>0.68300000000000005</v>
      </c>
      <c r="D125" s="15">
        <v>70.469700000000003</v>
      </c>
      <c r="E125" s="15">
        <v>12.99168968</v>
      </c>
      <c r="F125" s="15">
        <v>8.8475999830000003</v>
      </c>
      <c r="G125" s="13">
        <v>6309.0997779999998</v>
      </c>
      <c r="H125" s="13">
        <v>6</v>
      </c>
      <c r="I125" s="13">
        <v>120</v>
      </c>
      <c r="J125" s="23" t="str">
        <f t="shared" si="2"/>
        <v>MEDIUM HUMAN DEVELOPMENT</v>
      </c>
    </row>
    <row r="126" spans="1:10" s="12" customFormat="1" ht="22.9" customHeight="1">
      <c r="A126" s="13">
        <v>123</v>
      </c>
      <c r="B126" s="8" t="s">
        <v>162</v>
      </c>
      <c r="C126" s="14">
        <v>0.68300000000000005</v>
      </c>
      <c r="D126" s="15">
        <v>74.041899999999998</v>
      </c>
      <c r="E126" s="15">
        <v>14.151909829999999</v>
      </c>
      <c r="F126" s="15">
        <v>5.9160000000000004</v>
      </c>
      <c r="G126" s="13">
        <v>7302.8191699999998</v>
      </c>
      <c r="H126" s="13">
        <v>1</v>
      </c>
      <c r="I126" s="13">
        <v>122</v>
      </c>
      <c r="J126" s="23" t="str">
        <f t="shared" si="2"/>
        <v>MEDIUM HUMAN DEVELOPMENT</v>
      </c>
    </row>
    <row r="127" spans="1:10" s="12" customFormat="1" ht="22.9" customHeight="1">
      <c r="A127" s="13">
        <v>125</v>
      </c>
      <c r="B127" s="8" t="s">
        <v>163</v>
      </c>
      <c r="C127" s="14">
        <v>0.67500000000000004</v>
      </c>
      <c r="D127" s="15">
        <v>70.747900000000001</v>
      </c>
      <c r="E127" s="15">
        <v>12.671347669999999</v>
      </c>
      <c r="F127" s="15">
        <v>7.150929928</v>
      </c>
      <c r="G127" s="13">
        <v>8295.6658889999999</v>
      </c>
      <c r="H127" s="13">
        <v>-8</v>
      </c>
      <c r="I127" s="13">
        <v>124</v>
      </c>
      <c r="J127" s="23" t="str">
        <f t="shared" si="2"/>
        <v>MEDIUM HUMAN DEVELOPMENT</v>
      </c>
    </row>
    <row r="128" spans="1:10" s="12" customFormat="1" ht="22.9" customHeight="1">
      <c r="A128" s="13">
        <v>126</v>
      </c>
      <c r="B128" s="8" t="s">
        <v>164</v>
      </c>
      <c r="C128" s="14">
        <v>0.66700000000000004</v>
      </c>
      <c r="D128" s="15">
        <v>73.836799999999997</v>
      </c>
      <c r="E128" s="15">
        <v>12.64135783</v>
      </c>
      <c r="F128" s="15">
        <v>7.1440000000000001</v>
      </c>
      <c r="G128" s="13">
        <v>5624.7935950000001</v>
      </c>
      <c r="H128" s="13">
        <v>6</v>
      </c>
      <c r="I128" s="13">
        <v>129</v>
      </c>
      <c r="J128" s="23" t="str">
        <f t="shared" si="2"/>
        <v>MEDIUM HUMAN DEVELOPMENT</v>
      </c>
    </row>
    <row r="129" spans="1:10" s="12" customFormat="1" ht="22.9" customHeight="1">
      <c r="A129" s="13">
        <v>127</v>
      </c>
      <c r="B129" s="8" t="s">
        <v>165</v>
      </c>
      <c r="C129" s="14">
        <v>0.66600000000000004</v>
      </c>
      <c r="D129" s="15">
        <v>71.814999999999998</v>
      </c>
      <c r="E129" s="15">
        <v>13.225004780000001</v>
      </c>
      <c r="F129" s="15">
        <v>5.1702622829999996</v>
      </c>
      <c r="G129" s="13">
        <v>9437.5415119999998</v>
      </c>
      <c r="H129" s="13">
        <v>-15</v>
      </c>
      <c r="I129" s="13">
        <v>125</v>
      </c>
      <c r="J129" s="23" t="str">
        <f t="shared" si="2"/>
        <v>MEDIUM HUMAN DEVELOPMENT</v>
      </c>
    </row>
    <row r="130" spans="1:10" s="12" customFormat="1" ht="22.9" customHeight="1">
      <c r="A130" s="13">
        <v>128</v>
      </c>
      <c r="B130" s="8" t="s">
        <v>166</v>
      </c>
      <c r="C130" s="14">
        <v>0.66200000000000003</v>
      </c>
      <c r="D130" s="15">
        <v>74.0518</v>
      </c>
      <c r="E130" s="15">
        <v>12.55461444</v>
      </c>
      <c r="F130" s="15">
        <v>6.2877192869999998</v>
      </c>
      <c r="G130" s="13">
        <v>6230.2001989999999</v>
      </c>
      <c r="H130" s="13">
        <v>2</v>
      </c>
      <c r="I130" s="13">
        <v>127</v>
      </c>
      <c r="J130" s="23" t="str">
        <f t="shared" si="2"/>
        <v>MEDIUM HUMAN DEVELOPMENT</v>
      </c>
    </row>
    <row r="131" spans="1:10" s="12" customFormat="1" ht="22.9" customHeight="1">
      <c r="A131" s="13">
        <v>129</v>
      </c>
      <c r="B131" s="8" t="s">
        <v>167</v>
      </c>
      <c r="C131" s="14">
        <v>0.66100000000000003</v>
      </c>
      <c r="D131" s="15">
        <v>72.381100000000004</v>
      </c>
      <c r="E131" s="15">
        <v>12.441980360000001</v>
      </c>
      <c r="F131" s="15">
        <v>7.3790597919999996</v>
      </c>
      <c r="G131" s="13">
        <v>5472.104781</v>
      </c>
      <c r="H131" s="13">
        <v>4</v>
      </c>
      <c r="I131" s="13">
        <v>128</v>
      </c>
      <c r="J131" s="23" t="str">
        <f t="shared" si="2"/>
        <v>MEDIUM HUMAN DEVELOPMENT</v>
      </c>
    </row>
    <row r="132" spans="1:10" s="12" customFormat="1" ht="22.9" customHeight="1">
      <c r="A132" s="13">
        <v>130</v>
      </c>
      <c r="B132" s="8" t="s">
        <v>168</v>
      </c>
      <c r="C132" s="14">
        <v>0.64100000000000001</v>
      </c>
      <c r="D132" s="15">
        <v>64.546599999999998</v>
      </c>
      <c r="E132" s="15">
        <v>9.4044299999999996</v>
      </c>
      <c r="F132" s="15">
        <v>10.573107719999999</v>
      </c>
      <c r="G132" s="13">
        <v>6351.4358990000001</v>
      </c>
      <c r="H132" s="13">
        <v>-2</v>
      </c>
      <c r="I132" s="13">
        <v>131</v>
      </c>
      <c r="J132" s="23" t="str">
        <f t="shared" ref="J132:J163" si="3">IF(A132&gt;159,"LOW HUMAN DEVELOPMENT",IF(A132&gt;115,"MEDIUM HUMAN DEVELOPMENT",IF(A132&gt;=67,"HIGH HUMAN DEVELOPMENT",IF(A132&lt;67,"VERY HIGH HUMAN DEVELOPMENT","Invalid"))))</f>
        <v>MEDIUM HUMAN DEVELOPMENT</v>
      </c>
    </row>
    <row r="133" spans="1:10" s="12" customFormat="1" ht="22.9" customHeight="1">
      <c r="A133" s="13">
        <v>131</v>
      </c>
      <c r="B133" s="8" t="s">
        <v>169</v>
      </c>
      <c r="C133" s="14">
        <v>0.63900000000000001</v>
      </c>
      <c r="D133" s="15">
        <v>65.268799999999999</v>
      </c>
      <c r="E133" s="15">
        <v>10.239319800000001</v>
      </c>
      <c r="F133" s="15">
        <v>10.883139610000001</v>
      </c>
      <c r="G133" s="13">
        <v>4619.5353930000001</v>
      </c>
      <c r="H133" s="13">
        <v>12</v>
      </c>
      <c r="I133" s="13">
        <v>131</v>
      </c>
      <c r="J133" s="23" t="str">
        <f t="shared" si="3"/>
        <v>MEDIUM HUMAN DEVELOPMENT</v>
      </c>
    </row>
    <row r="134" spans="1:10" s="12" customFormat="1" ht="22.9" customHeight="1">
      <c r="A134" s="13">
        <v>132</v>
      </c>
      <c r="B134" s="8" t="s">
        <v>170</v>
      </c>
      <c r="C134" s="14">
        <v>0.63300000000000001</v>
      </c>
      <c r="D134" s="15">
        <v>67.239800000000002</v>
      </c>
      <c r="E134" s="15">
        <v>11.874620439999999</v>
      </c>
      <c r="F134" s="15">
        <v>6.6551091949999996</v>
      </c>
      <c r="G134" s="13">
        <v>6589.9800370000003</v>
      </c>
      <c r="H134" s="13">
        <v>-6</v>
      </c>
      <c r="I134" s="13">
        <v>130</v>
      </c>
      <c r="J134" s="23" t="str">
        <f t="shared" si="3"/>
        <v>MEDIUM HUMAN DEVELOPMENT</v>
      </c>
    </row>
    <row r="135" spans="1:10" s="12" customFormat="1" ht="22.9" customHeight="1">
      <c r="A135" s="13">
        <v>133</v>
      </c>
      <c r="B135" s="8" t="s">
        <v>171</v>
      </c>
      <c r="C135" s="14">
        <v>0.63200000000000001</v>
      </c>
      <c r="D135" s="15">
        <v>63.795400000000001</v>
      </c>
      <c r="E135" s="15">
        <v>12.047780039999999</v>
      </c>
      <c r="F135" s="15">
        <v>8.3298866950000008</v>
      </c>
      <c r="G135" s="13">
        <v>5744.5040170000002</v>
      </c>
      <c r="H135" s="13">
        <v>-2</v>
      </c>
      <c r="I135" s="13">
        <v>135</v>
      </c>
      <c r="J135" s="23" t="str">
        <f t="shared" si="3"/>
        <v>MEDIUM HUMAN DEVELOPMENT</v>
      </c>
    </row>
    <row r="136" spans="1:10" s="12" customFormat="1" ht="22.9" customHeight="1">
      <c r="A136" s="13">
        <v>134</v>
      </c>
      <c r="B136" s="8" t="s">
        <v>172</v>
      </c>
      <c r="C136" s="14">
        <v>0.628</v>
      </c>
      <c r="D136" s="15">
        <v>70.709999999999994</v>
      </c>
      <c r="E136" s="15">
        <v>11.54947988</v>
      </c>
      <c r="F136" s="15">
        <v>7.8049559999999998</v>
      </c>
      <c r="G136" s="13">
        <v>3696.173945</v>
      </c>
      <c r="H136" s="13">
        <v>22</v>
      </c>
      <c r="I136" s="13">
        <v>136</v>
      </c>
      <c r="J136" s="23" t="str">
        <f t="shared" si="3"/>
        <v>MEDIUM HUMAN DEVELOPMENT</v>
      </c>
    </row>
    <row r="137" spans="1:10" s="12" customFormat="1" ht="22.9" customHeight="1">
      <c r="A137" s="13">
        <v>135</v>
      </c>
      <c r="B137" s="8" t="s">
        <v>173</v>
      </c>
      <c r="C137" s="14">
        <v>0.627</v>
      </c>
      <c r="D137" s="15">
        <v>69.236800000000002</v>
      </c>
      <c r="E137" s="15">
        <v>10.56245041</v>
      </c>
      <c r="F137" s="15">
        <v>5.6813001630000004</v>
      </c>
      <c r="G137" s="13">
        <v>8723.2853169999998</v>
      </c>
      <c r="H137" s="13">
        <v>-20</v>
      </c>
      <c r="I137" s="13">
        <v>133</v>
      </c>
      <c r="J137" s="23" t="str">
        <f t="shared" si="3"/>
        <v>MEDIUM HUMAN DEVELOPMENT</v>
      </c>
    </row>
    <row r="138" spans="1:10" s="12" customFormat="1" ht="22.9" customHeight="1">
      <c r="A138" s="13">
        <v>136</v>
      </c>
      <c r="B138" s="8" t="s">
        <v>174</v>
      </c>
      <c r="C138" s="14">
        <v>0.624</v>
      </c>
      <c r="D138" s="15">
        <v>67.417199999999994</v>
      </c>
      <c r="E138" s="15">
        <v>11.801993</v>
      </c>
      <c r="F138" s="15">
        <v>7.9844618220000001</v>
      </c>
      <c r="G138" s="13">
        <v>4062.5860339999999</v>
      </c>
      <c r="H138" s="13">
        <v>14</v>
      </c>
      <c r="I138" s="13">
        <v>137</v>
      </c>
      <c r="J138" s="23" t="str">
        <f t="shared" si="3"/>
        <v>MEDIUM HUMAN DEVELOPMENT</v>
      </c>
    </row>
    <row r="139" spans="1:10" s="12" customFormat="1" ht="22.9" customHeight="1">
      <c r="A139" s="13">
        <v>137</v>
      </c>
      <c r="B139" s="8" t="s">
        <v>175</v>
      </c>
      <c r="C139" s="14">
        <v>0.621</v>
      </c>
      <c r="D139" s="15">
        <v>70.122900000000001</v>
      </c>
      <c r="E139" s="15">
        <v>10.13281417</v>
      </c>
      <c r="F139" s="15">
        <v>7.0884799960000002</v>
      </c>
      <c r="G139" s="13">
        <v>5297.955301</v>
      </c>
      <c r="H139" s="13">
        <v>-1</v>
      </c>
      <c r="I139" s="13">
        <v>138</v>
      </c>
      <c r="J139" s="23" t="str">
        <f t="shared" si="3"/>
        <v>MEDIUM HUMAN DEVELOPMENT</v>
      </c>
    </row>
    <row r="140" spans="1:10" s="12" customFormat="1" ht="22.9" customHeight="1">
      <c r="A140" s="13">
        <v>138</v>
      </c>
      <c r="B140" s="8" t="s">
        <v>176</v>
      </c>
      <c r="C140" s="14">
        <v>0.61799999999999999</v>
      </c>
      <c r="D140" s="15">
        <v>67.591200000000001</v>
      </c>
      <c r="E140" s="15">
        <v>13.365385059999999</v>
      </c>
      <c r="F140" s="15">
        <v>6.2155994349999997</v>
      </c>
      <c r="G140" s="13">
        <v>4021.3508149999998</v>
      </c>
      <c r="H140" s="13">
        <v>13</v>
      </c>
      <c r="I140" s="13">
        <v>139</v>
      </c>
      <c r="J140" s="23" t="str">
        <f t="shared" si="3"/>
        <v>MEDIUM HUMAN DEVELOPMENT</v>
      </c>
    </row>
    <row r="141" spans="1:10" s="12" customFormat="1" ht="22.9" customHeight="1">
      <c r="A141" s="13">
        <v>139</v>
      </c>
      <c r="B141" s="8" t="s">
        <v>177</v>
      </c>
      <c r="C141" s="14">
        <v>0.61499999999999999</v>
      </c>
      <c r="D141" s="15">
        <v>59.268999999999998</v>
      </c>
      <c r="E141" s="15">
        <v>11.92720692</v>
      </c>
      <c r="F141" s="15">
        <v>7.192013277</v>
      </c>
      <c r="G141" s="13">
        <v>8633.5044519999992</v>
      </c>
      <c r="H141" s="13">
        <v>-23</v>
      </c>
      <c r="I141" s="13">
        <v>134</v>
      </c>
      <c r="J141" s="23" t="str">
        <f t="shared" si="3"/>
        <v>MEDIUM HUMAN DEVELOPMENT</v>
      </c>
    </row>
    <row r="142" spans="1:10" s="12" customFormat="1" ht="22.9" customHeight="1">
      <c r="A142" s="13">
        <v>140</v>
      </c>
      <c r="B142" s="8" t="s">
        <v>179</v>
      </c>
      <c r="C142" s="14">
        <v>0.60699999999999998</v>
      </c>
      <c r="D142" s="15">
        <v>68.0608</v>
      </c>
      <c r="E142" s="15">
        <v>10.136110309999999</v>
      </c>
      <c r="F142" s="15">
        <v>5.3739999999999997</v>
      </c>
      <c r="G142" s="13">
        <v>7699.5796170000003</v>
      </c>
      <c r="H142" s="13">
        <v>-18</v>
      </c>
      <c r="I142" s="13">
        <v>142</v>
      </c>
      <c r="J142" s="23" t="str">
        <f t="shared" si="3"/>
        <v>MEDIUM HUMAN DEVELOPMENT</v>
      </c>
    </row>
    <row r="143" spans="1:10" s="12" customFormat="1" ht="22.9" customHeight="1">
      <c r="A143" s="13">
        <v>140</v>
      </c>
      <c r="B143" s="8" t="s">
        <v>180</v>
      </c>
      <c r="C143" s="14">
        <v>0.60699999999999998</v>
      </c>
      <c r="D143" s="15">
        <v>67.736900000000006</v>
      </c>
      <c r="E143" s="15">
        <v>12.616097999999999</v>
      </c>
      <c r="F143" s="15">
        <v>5.4367900000000002</v>
      </c>
      <c r="G143" s="13">
        <v>4460.8694349999996</v>
      </c>
      <c r="H143" s="13">
        <v>7</v>
      </c>
      <c r="I143" s="13">
        <v>140</v>
      </c>
      <c r="J143" s="23" t="str">
        <f t="shared" si="3"/>
        <v>MEDIUM HUMAN DEVELOPMENT</v>
      </c>
    </row>
    <row r="144" spans="1:10" s="12" customFormat="1" ht="22.9" customHeight="1">
      <c r="A144" s="13">
        <v>140</v>
      </c>
      <c r="B144" s="8" t="s">
        <v>181</v>
      </c>
      <c r="C144" s="14">
        <v>0.60699999999999998</v>
      </c>
      <c r="D144" s="15">
        <v>70.448999999999998</v>
      </c>
      <c r="E144" s="15">
        <v>11.53531503</v>
      </c>
      <c r="F144" s="15">
        <v>7.0648460000000002</v>
      </c>
      <c r="G144" s="13">
        <v>3085.4116330000002</v>
      </c>
      <c r="H144" s="13">
        <v>23</v>
      </c>
      <c r="I144" s="13">
        <v>142</v>
      </c>
      <c r="J144" s="23" t="str">
        <f t="shared" si="3"/>
        <v>MEDIUM HUMAN DEVELOPMENT</v>
      </c>
    </row>
    <row r="145" spans="1:10" s="12" customFormat="1" ht="22.9" customHeight="1">
      <c r="A145" s="13">
        <v>143</v>
      </c>
      <c r="B145" s="8" t="s">
        <v>183</v>
      </c>
      <c r="C145" s="14">
        <v>0.60199999999999998</v>
      </c>
      <c r="D145" s="15">
        <v>68.4495</v>
      </c>
      <c r="E145" s="15">
        <v>12.88694954</v>
      </c>
      <c r="F145" s="15">
        <v>5.1217927420000002</v>
      </c>
      <c r="G145" s="13">
        <v>3877.3154439999998</v>
      </c>
      <c r="H145" s="13">
        <v>10</v>
      </c>
      <c r="I145" s="13">
        <v>144</v>
      </c>
      <c r="J145" s="23" t="str">
        <f t="shared" si="3"/>
        <v>MEDIUM HUMAN DEVELOPMENT</v>
      </c>
    </row>
    <row r="146" spans="1:10" s="12" customFormat="1" ht="22.9" customHeight="1">
      <c r="A146" s="13">
        <v>144</v>
      </c>
      <c r="B146" s="8" t="s">
        <v>184</v>
      </c>
      <c r="C146" s="14">
        <v>0.59699999999999998</v>
      </c>
      <c r="D146" s="15">
        <v>57.0657</v>
      </c>
      <c r="E146" s="15">
        <v>13.744345859999999</v>
      </c>
      <c r="F146" s="15">
        <v>5.5960000000000001</v>
      </c>
      <c r="G146" s="13">
        <v>7678.5918730000003</v>
      </c>
      <c r="H146" s="13">
        <v>-21</v>
      </c>
      <c r="I146" s="13">
        <v>141</v>
      </c>
      <c r="J146" s="23" t="str">
        <f t="shared" si="3"/>
        <v>MEDIUM HUMAN DEVELOPMENT</v>
      </c>
    </row>
    <row r="147" spans="1:10" s="12" customFormat="1" ht="22.9" customHeight="1">
      <c r="A147" s="13">
        <v>145</v>
      </c>
      <c r="B147" s="8" t="s">
        <v>185</v>
      </c>
      <c r="C147" s="14">
        <v>0.59599999999999997</v>
      </c>
      <c r="D147" s="15">
        <v>60.594299999999997</v>
      </c>
      <c r="E147" s="15">
        <v>9.7349399999999999</v>
      </c>
      <c r="F147" s="15">
        <v>5.910863</v>
      </c>
      <c r="G147" s="13">
        <v>12073.959930000001</v>
      </c>
      <c r="H147" s="13">
        <v>-47</v>
      </c>
      <c r="I147" s="13">
        <v>147</v>
      </c>
      <c r="J147" s="23" t="str">
        <f t="shared" si="3"/>
        <v>MEDIUM HUMAN DEVELOPMENT</v>
      </c>
    </row>
    <row r="148" spans="1:10" s="12" customFormat="1" ht="22.9" customHeight="1">
      <c r="A148" s="13">
        <v>146</v>
      </c>
      <c r="B148" s="8" t="s">
        <v>186</v>
      </c>
      <c r="C148" s="14">
        <v>0.59299999999999997</v>
      </c>
      <c r="D148" s="15">
        <v>69.583500000000001</v>
      </c>
      <c r="E148" s="15">
        <v>11.46772</v>
      </c>
      <c r="F148" s="15">
        <v>5.0880000000000001</v>
      </c>
      <c r="G148" s="13">
        <v>4078.697154</v>
      </c>
      <c r="H148" s="13">
        <v>3</v>
      </c>
      <c r="I148" s="13">
        <v>148</v>
      </c>
      <c r="J148" s="23" t="str">
        <f t="shared" si="3"/>
        <v>MEDIUM HUMAN DEVELOPMENT</v>
      </c>
    </row>
    <row r="149" spans="1:10" s="12" customFormat="1" ht="22.9" customHeight="1">
      <c r="A149" s="13">
        <v>146</v>
      </c>
      <c r="B149" s="8" t="s">
        <v>188</v>
      </c>
      <c r="C149" s="14">
        <v>0.59299999999999997</v>
      </c>
      <c r="D149" s="15">
        <v>59.253100000000003</v>
      </c>
      <c r="E149" s="15">
        <v>12.110969040000001</v>
      </c>
      <c r="F149" s="15">
        <v>8.7109085010000005</v>
      </c>
      <c r="G149" s="13">
        <v>3809.887158</v>
      </c>
      <c r="H149" s="13">
        <v>9</v>
      </c>
      <c r="I149" s="13">
        <v>145</v>
      </c>
      <c r="J149" s="23" t="str">
        <f t="shared" si="3"/>
        <v>MEDIUM HUMAN DEVELOPMENT</v>
      </c>
    </row>
    <row r="150" spans="1:10" s="12" customFormat="1" ht="22.9" customHeight="1">
      <c r="A150" s="13">
        <v>148</v>
      </c>
      <c r="B150" s="8" t="s">
        <v>189</v>
      </c>
      <c r="C150" s="14">
        <v>0.58599999999999997</v>
      </c>
      <c r="D150" s="15">
        <v>61.6434</v>
      </c>
      <c r="E150" s="15">
        <v>12.1721</v>
      </c>
      <c r="F150" s="15">
        <v>5.4173908229999999</v>
      </c>
      <c r="G150" s="13">
        <v>5465.6177909999997</v>
      </c>
      <c r="H150" s="13">
        <v>-14</v>
      </c>
      <c r="I150" s="13">
        <v>149</v>
      </c>
      <c r="J150" s="23" t="str">
        <f t="shared" si="3"/>
        <v>MEDIUM HUMAN DEVELOPMENT</v>
      </c>
    </row>
    <row r="151" spans="1:10" s="12" customFormat="1" ht="22.9" customHeight="1">
      <c r="A151" s="13">
        <v>149</v>
      </c>
      <c r="B151" s="8" t="s">
        <v>190</v>
      </c>
      <c r="C151" s="14">
        <v>0.58499999999999996</v>
      </c>
      <c r="D151" s="15">
        <v>65.671599999999998</v>
      </c>
      <c r="E151" s="15">
        <v>10.90913752</v>
      </c>
      <c r="F151" s="15">
        <v>6.3768000599999999</v>
      </c>
      <c r="G151" s="13">
        <v>3850.524234</v>
      </c>
      <c r="H151" s="13">
        <v>5</v>
      </c>
      <c r="I151" s="13">
        <v>145</v>
      </c>
      <c r="J151" s="23" t="str">
        <f t="shared" si="3"/>
        <v>MEDIUM HUMAN DEVELOPMENT</v>
      </c>
    </row>
    <row r="152" spans="1:10" s="12" customFormat="1" ht="22.9" customHeight="1">
      <c r="A152" s="13">
        <v>150</v>
      </c>
      <c r="B152" s="8" t="s">
        <v>191</v>
      </c>
      <c r="C152" s="14">
        <v>0.57699999999999996</v>
      </c>
      <c r="D152" s="15">
        <v>72.062700000000007</v>
      </c>
      <c r="E152" s="15">
        <v>9.1642198560000008</v>
      </c>
      <c r="F152" s="15">
        <v>5.0999999999999996</v>
      </c>
      <c r="G152" s="13">
        <v>4191.9338930000004</v>
      </c>
      <c r="H152" s="13">
        <v>-2</v>
      </c>
      <c r="I152" s="13">
        <v>152</v>
      </c>
      <c r="J152" s="23" t="str">
        <f t="shared" si="3"/>
        <v>MEDIUM HUMAN DEVELOPMENT</v>
      </c>
    </row>
    <row r="153" spans="1:10" s="12" customFormat="1" ht="22.9" customHeight="1">
      <c r="A153" s="13">
        <v>151</v>
      </c>
      <c r="B153" s="8" t="s">
        <v>193</v>
      </c>
      <c r="C153" s="14">
        <v>0.57599999999999996</v>
      </c>
      <c r="D153" s="15">
        <v>60.333399999999997</v>
      </c>
      <c r="E153" s="15">
        <v>13.10859922</v>
      </c>
      <c r="F153" s="15">
        <v>6.1513099999999996</v>
      </c>
      <c r="G153" s="13">
        <v>3620.9324080000001</v>
      </c>
      <c r="H153" s="13">
        <v>6</v>
      </c>
      <c r="I153" s="13">
        <v>150</v>
      </c>
      <c r="J153" s="23" t="str">
        <f t="shared" si="3"/>
        <v>MEDIUM HUMAN DEVELOPMENT</v>
      </c>
    </row>
    <row r="154" spans="1:10" s="12" customFormat="1" ht="22.9" customHeight="1">
      <c r="A154" s="13">
        <v>152</v>
      </c>
      <c r="B154" s="8" t="s">
        <v>194</v>
      </c>
      <c r="C154" s="14">
        <v>0.57499999999999996</v>
      </c>
      <c r="D154" s="15">
        <v>61.427</v>
      </c>
      <c r="E154" s="15">
        <v>10.698558350000001</v>
      </c>
      <c r="F154" s="15">
        <v>6.6520000000000001</v>
      </c>
      <c r="G154" s="13">
        <v>4473.5703439999997</v>
      </c>
      <c r="H154" s="13">
        <v>-6</v>
      </c>
      <c r="I154" s="13">
        <v>150</v>
      </c>
      <c r="J154" s="23" t="str">
        <f t="shared" si="3"/>
        <v>MEDIUM HUMAN DEVELOPMENT</v>
      </c>
    </row>
    <row r="155" spans="1:10" s="12" customFormat="1" ht="22.9" customHeight="1">
      <c r="A155" s="13">
        <v>153</v>
      </c>
      <c r="B155" s="8" t="s">
        <v>195</v>
      </c>
      <c r="C155" s="14">
        <v>0.57099999999999995</v>
      </c>
      <c r="D155" s="15">
        <v>63.518700000000003</v>
      </c>
      <c r="E155" s="15">
        <v>12.33081527</v>
      </c>
      <c r="F155" s="15">
        <v>6.1660000000000004</v>
      </c>
      <c r="G155" s="13">
        <v>2889.2835209999998</v>
      </c>
      <c r="H155" s="13">
        <v>11</v>
      </c>
      <c r="I155" s="13">
        <v>153</v>
      </c>
      <c r="J155" s="23" t="str">
        <f t="shared" si="3"/>
        <v>MEDIUM HUMAN DEVELOPMENT</v>
      </c>
    </row>
    <row r="156" spans="1:10" s="12" customFormat="1" ht="22.9" customHeight="1">
      <c r="A156" s="13">
        <v>154</v>
      </c>
      <c r="B156" s="8" t="s">
        <v>196</v>
      </c>
      <c r="C156" s="14">
        <v>0.56499999999999995</v>
      </c>
      <c r="D156" s="15">
        <v>61.223399999999998</v>
      </c>
      <c r="E156" s="15">
        <v>10.92876021</v>
      </c>
      <c r="F156" s="15">
        <v>7.1870914939999997</v>
      </c>
      <c r="G156" s="13">
        <v>3217.7677389999999</v>
      </c>
      <c r="H156" s="13">
        <v>7</v>
      </c>
      <c r="I156" s="13">
        <v>154</v>
      </c>
      <c r="J156" s="23" t="str">
        <f t="shared" si="3"/>
        <v>MEDIUM HUMAN DEVELOPMENT</v>
      </c>
    </row>
    <row r="157" spans="1:10" s="12" customFormat="1" ht="22.9" customHeight="1">
      <c r="A157" s="13">
        <v>155</v>
      </c>
      <c r="B157" s="8" t="s">
        <v>197</v>
      </c>
      <c r="C157" s="14">
        <v>0.56399999999999995</v>
      </c>
      <c r="D157" s="15">
        <v>70.347700000000003</v>
      </c>
      <c r="E157" s="15">
        <v>10.328690269999999</v>
      </c>
      <c r="F157" s="15">
        <v>5.7118479999999998</v>
      </c>
      <c r="G157" s="13">
        <v>2481.5113620000002</v>
      </c>
      <c r="H157" s="13">
        <v>13</v>
      </c>
      <c r="I157" s="13">
        <v>155</v>
      </c>
      <c r="J157" s="23" t="str">
        <f t="shared" si="3"/>
        <v>MEDIUM HUMAN DEVELOPMENT</v>
      </c>
    </row>
    <row r="158" spans="1:10" s="12" customFormat="1" ht="22.9" customHeight="1">
      <c r="A158" s="13">
        <v>156</v>
      </c>
      <c r="B158" s="8" t="s">
        <v>198</v>
      </c>
      <c r="C158" s="14">
        <v>0.55800000000000005</v>
      </c>
      <c r="D158" s="15">
        <v>63.417400000000001</v>
      </c>
      <c r="E158" s="15">
        <v>11.92432393</v>
      </c>
      <c r="F158" s="15">
        <v>5.0786490000000004</v>
      </c>
      <c r="G158" s="13">
        <v>3142.0641190000001</v>
      </c>
      <c r="H158" s="13">
        <v>6</v>
      </c>
      <c r="I158" s="13">
        <v>156</v>
      </c>
      <c r="J158" s="23" t="str">
        <f t="shared" si="3"/>
        <v>MEDIUM HUMAN DEVELOPMENT</v>
      </c>
    </row>
    <row r="159" spans="1:10" s="12" customFormat="1" ht="22.9" customHeight="1">
      <c r="A159" s="13">
        <v>156</v>
      </c>
      <c r="B159" s="8" t="s">
        <v>199</v>
      </c>
      <c r="C159" s="14">
        <v>0.55800000000000005</v>
      </c>
      <c r="D159" s="15">
        <v>65.3506</v>
      </c>
      <c r="E159" s="15">
        <v>10.36077074</v>
      </c>
      <c r="F159" s="15">
        <v>4.74</v>
      </c>
      <c r="G159" s="13">
        <v>4008.6235729999999</v>
      </c>
      <c r="H159" s="13">
        <v>-4</v>
      </c>
      <c r="I159" s="13">
        <v>157</v>
      </c>
      <c r="J159" s="23" t="str">
        <f t="shared" si="3"/>
        <v>MEDIUM HUMAN DEVELOPMENT</v>
      </c>
    </row>
    <row r="160" spans="1:10" s="12" customFormat="1" ht="22.9" customHeight="1">
      <c r="A160" s="13">
        <v>158</v>
      </c>
      <c r="B160" s="8" t="s">
        <v>200</v>
      </c>
      <c r="C160" s="14">
        <v>0.55600000000000005</v>
      </c>
      <c r="D160" s="15">
        <v>64.363600000000005</v>
      </c>
      <c r="E160" s="15">
        <v>9.3761596679999997</v>
      </c>
      <c r="F160" s="15">
        <v>4.9188048909999997</v>
      </c>
      <c r="G160" s="13">
        <v>5075.305711</v>
      </c>
      <c r="H160" s="13">
        <v>-20</v>
      </c>
      <c r="I160" s="13">
        <v>158</v>
      </c>
      <c r="J160" s="23" t="str">
        <f t="shared" si="3"/>
        <v>MEDIUM HUMAN DEVELOPMENT</v>
      </c>
    </row>
    <row r="161" spans="1:10" s="12" customFormat="1" ht="22.9" customHeight="1">
      <c r="A161" s="13">
        <v>159</v>
      </c>
      <c r="B161" s="8" t="s">
        <v>201</v>
      </c>
      <c r="C161" s="14">
        <v>0.55000000000000004</v>
      </c>
      <c r="D161" s="15">
        <v>58.598300000000002</v>
      </c>
      <c r="E161" s="15">
        <v>10.67558002</v>
      </c>
      <c r="F161" s="15">
        <v>5.1991389769999996</v>
      </c>
      <c r="G161" s="13">
        <v>5217.4485160000004</v>
      </c>
      <c r="H161" s="13">
        <v>-22</v>
      </c>
      <c r="I161" s="13">
        <v>159</v>
      </c>
      <c r="J161" s="23" t="str">
        <f t="shared" si="3"/>
        <v>MEDIUM HUMAN DEVELOPMENT</v>
      </c>
    </row>
    <row r="162" spans="1:10" s="12" customFormat="1" ht="22.9" customHeight="1">
      <c r="A162" s="13">
        <v>160</v>
      </c>
      <c r="B162" s="8" t="s">
        <v>203</v>
      </c>
      <c r="C162" s="14">
        <v>0.54900000000000004</v>
      </c>
      <c r="D162" s="15">
        <v>66.200699999999998</v>
      </c>
      <c r="E162" s="15">
        <v>9.2214899060000004</v>
      </c>
      <c r="F162" s="15">
        <v>6.3728987100000003</v>
      </c>
      <c r="G162" s="13">
        <v>2664.3290959999999</v>
      </c>
      <c r="H162" s="13">
        <v>7</v>
      </c>
      <c r="I162" s="13">
        <v>160</v>
      </c>
      <c r="J162" s="23" t="str">
        <f t="shared" si="3"/>
        <v>LOW HUMAN DEVELOPMENT</v>
      </c>
    </row>
    <row r="163" spans="1:10" s="12" customFormat="1" ht="22.9" customHeight="1">
      <c r="A163" s="13">
        <v>161</v>
      </c>
      <c r="B163" s="8" t="s">
        <v>204</v>
      </c>
      <c r="C163" s="14">
        <v>0.54400000000000004</v>
      </c>
      <c r="D163" s="15">
        <v>66.097899999999996</v>
      </c>
      <c r="E163" s="15">
        <v>8.6583499909999997</v>
      </c>
      <c r="F163" s="15">
        <v>4.5363302230000002</v>
      </c>
      <c r="G163" s="13">
        <v>4623.70543</v>
      </c>
      <c r="H163" s="13">
        <v>-19</v>
      </c>
      <c r="I163" s="13">
        <v>161</v>
      </c>
      <c r="J163" s="23" t="str">
        <f t="shared" si="3"/>
        <v>LOW HUMAN DEVELOPMENT</v>
      </c>
    </row>
    <row r="164" spans="1:10" s="12" customFormat="1" ht="22.9" customHeight="1">
      <c r="A164" s="13">
        <v>162</v>
      </c>
      <c r="B164" s="8" t="s">
        <v>205</v>
      </c>
      <c r="C164" s="14">
        <v>0.53900000000000003</v>
      </c>
      <c r="D164" s="15">
        <v>61.619399999999999</v>
      </c>
      <c r="E164" s="15">
        <v>12.95049378</v>
      </c>
      <c r="F164" s="15">
        <v>5.0168073670000002</v>
      </c>
      <c r="G164" s="13">
        <v>2166.6190620000002</v>
      </c>
      <c r="H164" s="13">
        <v>12</v>
      </c>
      <c r="I164" s="13">
        <v>163</v>
      </c>
      <c r="J164" s="23" t="str">
        <f t="shared" ref="J164:J193" si="4">IF(A164&gt;159,"LOW HUMAN DEVELOPMENT",IF(A164&gt;115,"MEDIUM HUMAN DEVELOPMENT",IF(A164&gt;=67,"HIGH HUMAN DEVELOPMENT",IF(A164&lt;67,"VERY HIGH HUMAN DEVELOPMENT","Invalid"))))</f>
        <v>LOW HUMAN DEVELOPMENT</v>
      </c>
    </row>
    <row r="165" spans="1:10" s="12" customFormat="1" ht="22.9" customHeight="1">
      <c r="A165" s="13">
        <v>163</v>
      </c>
      <c r="B165" s="8" t="s">
        <v>206</v>
      </c>
      <c r="C165" s="14">
        <v>0.53500000000000003</v>
      </c>
      <c r="D165" s="15">
        <v>63.192399999999999</v>
      </c>
      <c r="E165" s="15">
        <v>9.6999999999999993</v>
      </c>
      <c r="F165" s="15">
        <v>5.5540000000000003</v>
      </c>
      <c r="G165" s="13">
        <v>2847.5007460000002</v>
      </c>
      <c r="H165" s="13">
        <v>2</v>
      </c>
      <c r="I165" s="13">
        <v>162</v>
      </c>
      <c r="J165" s="23" t="str">
        <f t="shared" si="4"/>
        <v>LOW HUMAN DEVELOPMENT</v>
      </c>
    </row>
    <row r="166" spans="1:10" s="12" customFormat="1" ht="22.9" customHeight="1">
      <c r="A166" s="13">
        <v>163</v>
      </c>
      <c r="B166" s="8" t="s">
        <v>207</v>
      </c>
      <c r="C166" s="14">
        <v>0.53500000000000003</v>
      </c>
      <c r="D166" s="15">
        <v>52.676000000000002</v>
      </c>
      <c r="E166" s="15">
        <v>10.12758388</v>
      </c>
      <c r="F166" s="15">
        <v>7.181074153</v>
      </c>
      <c r="G166" s="13">
        <v>4790.2844249999998</v>
      </c>
      <c r="H166" s="13">
        <v>-22</v>
      </c>
      <c r="I166" s="13">
        <v>163</v>
      </c>
      <c r="J166" s="23" t="str">
        <f t="shared" si="4"/>
        <v>LOW HUMAN DEVELOPMENT</v>
      </c>
    </row>
    <row r="167" spans="1:10" s="12" customFormat="1" ht="22.9" customHeight="1">
      <c r="A167" s="13">
        <v>165</v>
      </c>
      <c r="B167" s="8" t="s">
        <v>208</v>
      </c>
      <c r="C167" s="14">
        <v>0.53400000000000003</v>
      </c>
      <c r="D167" s="15">
        <v>66.072199999999995</v>
      </c>
      <c r="E167" s="15">
        <v>11.23097038</v>
      </c>
      <c r="F167" s="15">
        <v>4.4252923580000001</v>
      </c>
      <c r="G167" s="13">
        <v>2209.7952019999998</v>
      </c>
      <c r="H167" s="13">
        <v>6</v>
      </c>
      <c r="I167" s="13">
        <v>165</v>
      </c>
      <c r="J167" s="23" t="str">
        <f t="shared" si="4"/>
        <v>LOW HUMAN DEVELOPMENT</v>
      </c>
    </row>
    <row r="168" spans="1:10" s="12" customFormat="1" ht="22.9" customHeight="1">
      <c r="A168" s="13">
        <v>166</v>
      </c>
      <c r="B168" s="8" t="s">
        <v>209</v>
      </c>
      <c r="C168" s="14">
        <v>0.52500000000000002</v>
      </c>
      <c r="D168" s="15">
        <v>59.820999999999998</v>
      </c>
      <c r="E168" s="15">
        <v>10.766679760000001</v>
      </c>
      <c r="F168" s="15">
        <v>4.3047864450000004</v>
      </c>
      <c r="G168" s="13">
        <v>3408.9659230000002</v>
      </c>
      <c r="H168" s="13">
        <v>-7</v>
      </c>
      <c r="I168" s="13">
        <v>166</v>
      </c>
      <c r="J168" s="23" t="str">
        <f t="shared" si="4"/>
        <v>LOW HUMAN DEVELOPMENT</v>
      </c>
    </row>
    <row r="169" spans="1:10" s="12" customFormat="1" ht="22.9" customHeight="1">
      <c r="A169" s="13">
        <v>166</v>
      </c>
      <c r="B169" s="8" t="s">
        <v>210</v>
      </c>
      <c r="C169" s="14">
        <v>0.52500000000000002</v>
      </c>
      <c r="D169" s="15">
        <v>62.704799999999999</v>
      </c>
      <c r="E169" s="15">
        <v>10.14986994</v>
      </c>
      <c r="F169" s="15">
        <v>5.7309415660000003</v>
      </c>
      <c r="G169" s="13">
        <v>2181.43651</v>
      </c>
      <c r="H169" s="13">
        <v>6</v>
      </c>
      <c r="I169" s="13">
        <v>166</v>
      </c>
      <c r="J169" s="23" t="str">
        <f t="shared" si="4"/>
        <v>LOW HUMAN DEVELOPMENT</v>
      </c>
    </row>
    <row r="170" spans="1:10" s="12" customFormat="1" ht="22.9" customHeight="1">
      <c r="A170" s="13">
        <v>168</v>
      </c>
      <c r="B170" s="8" t="s">
        <v>211</v>
      </c>
      <c r="C170" s="14">
        <v>0.51400000000000001</v>
      </c>
      <c r="D170" s="15">
        <v>53.061999999999998</v>
      </c>
      <c r="E170" s="15">
        <v>12.04087801</v>
      </c>
      <c r="F170" s="15">
        <v>6.0101847069999996</v>
      </c>
      <c r="G170" s="13">
        <v>2700.4357479999999</v>
      </c>
      <c r="H170" s="13">
        <v>-2</v>
      </c>
      <c r="I170" s="13">
        <v>168</v>
      </c>
      <c r="J170" s="23" t="str">
        <f t="shared" si="4"/>
        <v>LOW HUMAN DEVELOPMENT</v>
      </c>
    </row>
    <row r="171" spans="1:10" s="12" customFormat="1" ht="22.9" customHeight="1">
      <c r="A171" s="13">
        <v>169</v>
      </c>
      <c r="B171" s="8" t="s">
        <v>212</v>
      </c>
      <c r="C171" s="14">
        <v>0.51200000000000001</v>
      </c>
      <c r="D171" s="15">
        <v>62.904400000000003</v>
      </c>
      <c r="E171" s="15">
        <v>12.67898523</v>
      </c>
      <c r="F171" s="15">
        <v>4.4896953850000001</v>
      </c>
      <c r="G171" s="13">
        <v>1465.6350640000001</v>
      </c>
      <c r="H171" s="13">
        <v>13</v>
      </c>
      <c r="I171" s="13">
        <v>169</v>
      </c>
      <c r="J171" s="23" t="str">
        <f t="shared" si="4"/>
        <v>LOW HUMAN DEVELOPMENT</v>
      </c>
    </row>
    <row r="172" spans="1:10" s="12" customFormat="1" ht="22.9" customHeight="1">
      <c r="A172" s="13">
        <v>170</v>
      </c>
      <c r="B172" s="8" t="s">
        <v>213</v>
      </c>
      <c r="C172" s="14">
        <v>0.51100000000000001</v>
      </c>
      <c r="D172" s="15">
        <v>67.092600000000004</v>
      </c>
      <c r="E172" s="15">
        <v>8.9637498860000004</v>
      </c>
      <c r="F172" s="15">
        <v>2.937938258</v>
      </c>
      <c r="G172" s="13">
        <v>3344.3118250000002</v>
      </c>
      <c r="H172" s="13">
        <v>-10</v>
      </c>
      <c r="I172" s="13">
        <v>170</v>
      </c>
      <c r="J172" s="23" t="str">
        <f t="shared" si="4"/>
        <v>LOW HUMAN DEVELOPMENT</v>
      </c>
    </row>
    <row r="173" spans="1:10" s="12" customFormat="1" ht="22.9" customHeight="1">
      <c r="A173" s="13">
        <v>171</v>
      </c>
      <c r="B173" s="8" t="s">
        <v>214</v>
      </c>
      <c r="C173" s="14">
        <v>0.50900000000000001</v>
      </c>
      <c r="D173" s="15">
        <v>62.304900000000004</v>
      </c>
      <c r="E173" s="15">
        <v>7.4329799999999997</v>
      </c>
      <c r="F173" s="15">
        <v>4.0999999999999996</v>
      </c>
      <c r="G173" s="13">
        <v>5024.9939439999998</v>
      </c>
      <c r="H173" s="13">
        <v>-32</v>
      </c>
      <c r="I173" s="13">
        <v>171</v>
      </c>
      <c r="J173" s="23" t="str">
        <f t="shared" si="4"/>
        <v>LOW HUMAN DEVELOPMENT</v>
      </c>
    </row>
    <row r="174" spans="1:10" s="12" customFormat="1" ht="22.9" customHeight="1">
      <c r="A174" s="13">
        <v>172</v>
      </c>
      <c r="B174" s="8" t="s">
        <v>215</v>
      </c>
      <c r="C174" s="14">
        <v>0.50800000000000001</v>
      </c>
      <c r="D174" s="15">
        <v>65.2667</v>
      </c>
      <c r="E174" s="15">
        <v>7.9451878579999997</v>
      </c>
      <c r="F174" s="15">
        <v>3.82</v>
      </c>
      <c r="G174" s="13">
        <v>3575.1908400000002</v>
      </c>
      <c r="H174" s="13">
        <v>-14</v>
      </c>
      <c r="I174" s="13">
        <v>171</v>
      </c>
      <c r="J174" s="23" t="str">
        <f t="shared" si="4"/>
        <v>LOW HUMAN DEVELOPMENT</v>
      </c>
    </row>
    <row r="175" spans="1:10" s="12" customFormat="1" ht="22.9" customHeight="1">
      <c r="A175" s="13">
        <v>173</v>
      </c>
      <c r="B175" s="8" t="s">
        <v>216</v>
      </c>
      <c r="C175" s="14">
        <v>0.501</v>
      </c>
      <c r="D175" s="15">
        <v>64.485299999999995</v>
      </c>
      <c r="E175" s="15">
        <v>10.13499142</v>
      </c>
      <c r="F175" s="15">
        <v>5.1204685339999996</v>
      </c>
      <c r="G175" s="13">
        <v>1483.5209829999999</v>
      </c>
      <c r="H175" s="13">
        <v>8</v>
      </c>
      <c r="I175" s="13">
        <v>173</v>
      </c>
      <c r="J175" s="23" t="str">
        <f t="shared" si="4"/>
        <v>LOW HUMAN DEVELOPMENT</v>
      </c>
    </row>
    <row r="176" spans="1:10" s="12" customFormat="1" ht="22.9" customHeight="1">
      <c r="A176" s="13">
        <v>174</v>
      </c>
      <c r="B176" s="8" t="s">
        <v>217</v>
      </c>
      <c r="C176" s="14">
        <v>0.5</v>
      </c>
      <c r="D176" s="15">
        <v>62.082999999999998</v>
      </c>
      <c r="E176" s="15">
        <v>9.4186262989999996</v>
      </c>
      <c r="F176" s="15">
        <v>4.6374874110000004</v>
      </c>
      <c r="G176" s="13">
        <v>2172.207664</v>
      </c>
      <c r="H176" s="13">
        <v>-1</v>
      </c>
      <c r="I176" s="13">
        <v>173</v>
      </c>
      <c r="J176" s="23" t="str">
        <f t="shared" si="4"/>
        <v>LOW HUMAN DEVELOPMENT</v>
      </c>
    </row>
    <row r="177" spans="1:10" s="12" customFormat="1" ht="22.9" customHeight="1">
      <c r="A177" s="13">
        <v>175</v>
      </c>
      <c r="B177" s="8" t="s">
        <v>218</v>
      </c>
      <c r="C177" s="14">
        <v>0.498</v>
      </c>
      <c r="D177" s="15">
        <v>64.974800000000002</v>
      </c>
      <c r="E177" s="15">
        <v>9.6510714209999993</v>
      </c>
      <c r="F177" s="15">
        <v>3.2015206809999999</v>
      </c>
      <c r="G177" s="13">
        <v>2361.0696039999998</v>
      </c>
      <c r="H177" s="13">
        <v>-5</v>
      </c>
      <c r="I177" s="13">
        <v>175</v>
      </c>
      <c r="J177" s="23" t="str">
        <f t="shared" si="4"/>
        <v>LOW HUMAN DEVELOPMENT</v>
      </c>
    </row>
    <row r="178" spans="1:10" s="12" customFormat="1" ht="22.9" customHeight="1">
      <c r="A178" s="13">
        <v>176</v>
      </c>
      <c r="B178" s="8" t="s">
        <v>219</v>
      </c>
      <c r="C178" s="14">
        <v>0.49199999999999999</v>
      </c>
      <c r="D178" s="15">
        <v>66.535799999999995</v>
      </c>
      <c r="E178" s="15">
        <v>8.0645246279999991</v>
      </c>
      <c r="F178" s="15">
        <v>4.8872352000000001</v>
      </c>
      <c r="G178" s="13">
        <v>1728.742667</v>
      </c>
      <c r="H178" s="13">
        <v>3</v>
      </c>
      <c r="I178" s="13">
        <v>176</v>
      </c>
      <c r="J178" s="23" t="str">
        <f t="shared" si="4"/>
        <v>LOW HUMAN DEVELOPMENT</v>
      </c>
    </row>
    <row r="179" spans="1:10" s="12" customFormat="1" ht="22.9" customHeight="1">
      <c r="A179" s="13">
        <v>177</v>
      </c>
      <c r="B179" s="8" t="s">
        <v>222</v>
      </c>
      <c r="C179" s="14">
        <v>0.48299999999999998</v>
      </c>
      <c r="D179" s="15">
        <v>59.652299999999997</v>
      </c>
      <c r="E179" s="15">
        <v>10.61306278</v>
      </c>
      <c r="F179" s="15">
        <v>3.5837189999999999</v>
      </c>
      <c r="G179" s="13">
        <v>1908.2415900000001</v>
      </c>
      <c r="H179" s="13">
        <v>0</v>
      </c>
      <c r="I179" s="13">
        <v>177</v>
      </c>
      <c r="J179" s="23" t="str">
        <f t="shared" si="4"/>
        <v>LOW HUMAN DEVELOPMENT</v>
      </c>
    </row>
    <row r="180" spans="1:10" s="12" customFormat="1" ht="22.9" customHeight="1">
      <c r="A180" s="13">
        <v>178</v>
      </c>
      <c r="B180" s="8" t="s">
        <v>223</v>
      </c>
      <c r="C180" s="14">
        <v>0.48099999999999998</v>
      </c>
      <c r="D180" s="15">
        <v>60.747199999999999</v>
      </c>
      <c r="E180" s="15">
        <v>10.42078972</v>
      </c>
      <c r="F180" s="15">
        <v>5.0819999999999999</v>
      </c>
      <c r="G180" s="13">
        <v>1288.74235</v>
      </c>
      <c r="H180" s="13">
        <v>7</v>
      </c>
      <c r="I180" s="13">
        <v>179</v>
      </c>
      <c r="J180" s="23" t="str">
        <f t="shared" si="4"/>
        <v>LOW HUMAN DEVELOPMENT</v>
      </c>
    </row>
    <row r="181" spans="1:10" s="12" customFormat="1" ht="22.9" customHeight="1">
      <c r="A181" s="13">
        <v>179</v>
      </c>
      <c r="B181" s="8" t="s">
        <v>224</v>
      </c>
      <c r="C181" s="14">
        <v>0.47899999999999998</v>
      </c>
      <c r="D181" s="15">
        <v>59.192999999999998</v>
      </c>
      <c r="E181" s="15">
        <v>9.8178644510000002</v>
      </c>
      <c r="F181" s="15">
        <v>7.0186965160000003</v>
      </c>
      <c r="G181" s="13">
        <v>1076.0987809999999</v>
      </c>
      <c r="H181" s="13">
        <v>9</v>
      </c>
      <c r="I181" s="13">
        <v>180</v>
      </c>
      <c r="J181" s="23" t="str">
        <f t="shared" si="4"/>
        <v>LOW HUMAN DEVELOPMENT</v>
      </c>
    </row>
    <row r="182" spans="1:10" s="12" customFormat="1" ht="22.9" customHeight="1">
      <c r="A182" s="13">
        <v>180</v>
      </c>
      <c r="B182" s="8" t="s">
        <v>225</v>
      </c>
      <c r="C182" s="14">
        <v>0.47799999999999998</v>
      </c>
      <c r="D182" s="15">
        <v>61.982399999999998</v>
      </c>
      <c r="E182" s="15">
        <v>10.263843980000001</v>
      </c>
      <c r="F182" s="15">
        <v>2.98506999</v>
      </c>
      <c r="G182" s="13">
        <v>1824.1909149999999</v>
      </c>
      <c r="H182" s="13">
        <v>-2</v>
      </c>
      <c r="I182" s="13">
        <v>177</v>
      </c>
      <c r="J182" s="23" t="str">
        <f t="shared" si="4"/>
        <v>LOW HUMAN DEVELOPMENT</v>
      </c>
    </row>
    <row r="183" spans="1:10" s="12" customFormat="1" ht="22.9" customHeight="1">
      <c r="A183" s="13">
        <v>181</v>
      </c>
      <c r="B183" s="8" t="s">
        <v>226</v>
      </c>
      <c r="C183" s="14">
        <v>0.47699999999999998</v>
      </c>
      <c r="D183" s="15">
        <v>60.062399999999997</v>
      </c>
      <c r="E183" s="15">
        <v>9.5733910899999994</v>
      </c>
      <c r="F183" s="15">
        <v>4.5760812849999999</v>
      </c>
      <c r="G183" s="13">
        <v>1621.512579</v>
      </c>
      <c r="H183" s="13">
        <v>-1</v>
      </c>
      <c r="I183" s="13">
        <v>181</v>
      </c>
      <c r="J183" s="23" t="str">
        <f t="shared" si="4"/>
        <v>LOW HUMAN DEVELOPMENT</v>
      </c>
    </row>
    <row r="184" spans="1:10" s="12" customFormat="1" ht="22.9" customHeight="1">
      <c r="A184" s="13">
        <v>182</v>
      </c>
      <c r="B184" s="8" t="s">
        <v>227</v>
      </c>
      <c r="C184" s="14">
        <v>0.46500000000000002</v>
      </c>
      <c r="D184" s="15">
        <v>58.892200000000003</v>
      </c>
      <c r="E184" s="15">
        <v>9.8052974650000007</v>
      </c>
      <c r="F184" s="15">
        <v>2.2021259519999998</v>
      </c>
      <c r="G184" s="13">
        <v>2480.8871819999999</v>
      </c>
      <c r="H184" s="13">
        <v>-13</v>
      </c>
      <c r="I184" s="13">
        <v>182</v>
      </c>
      <c r="J184" s="23" t="str">
        <f t="shared" si="4"/>
        <v>LOW HUMAN DEVELOPMENT</v>
      </c>
    </row>
    <row r="185" spans="1:10" s="12" customFormat="1" ht="22.9" customHeight="1">
      <c r="A185" s="13">
        <v>183</v>
      </c>
      <c r="B185" s="8" t="s">
        <v>228</v>
      </c>
      <c r="C185" s="14">
        <v>0.45500000000000002</v>
      </c>
      <c r="D185" s="15">
        <v>63.753399999999999</v>
      </c>
      <c r="E185" s="15">
        <v>9.0987100600000002</v>
      </c>
      <c r="F185" s="15">
        <v>3.2</v>
      </c>
      <c r="G185" s="13">
        <v>1314.2701890000001</v>
      </c>
      <c r="H185" s="13">
        <v>1</v>
      </c>
      <c r="I185" s="13">
        <v>183</v>
      </c>
      <c r="J185" s="23" t="str">
        <f t="shared" si="4"/>
        <v>LOW HUMAN DEVELOPMENT</v>
      </c>
    </row>
    <row r="186" spans="1:10" s="12" customFormat="1" ht="22.9" customHeight="1">
      <c r="A186" s="13">
        <v>184</v>
      </c>
      <c r="B186" s="8" t="s">
        <v>229</v>
      </c>
      <c r="C186" s="14">
        <v>0.44900000000000001</v>
      </c>
      <c r="D186" s="15">
        <v>59.269599999999997</v>
      </c>
      <c r="E186" s="15">
        <v>9.1421003340000002</v>
      </c>
      <c r="F186" s="15">
        <v>2.1149622589999999</v>
      </c>
      <c r="G186" s="13">
        <v>2117.9159159999999</v>
      </c>
      <c r="H186" s="13">
        <v>-8</v>
      </c>
      <c r="I186" s="13">
        <v>185</v>
      </c>
      <c r="J186" s="23" t="str">
        <f t="shared" si="4"/>
        <v>LOW HUMAN DEVELOPMENT</v>
      </c>
    </row>
    <row r="187" spans="1:10" s="12" customFormat="1" ht="22.9" customHeight="1">
      <c r="A187" s="13">
        <v>185</v>
      </c>
      <c r="B187" s="8" t="s">
        <v>230</v>
      </c>
      <c r="C187" s="14">
        <v>0.44600000000000001</v>
      </c>
      <c r="D187" s="15">
        <v>59.3247</v>
      </c>
      <c r="E187" s="15">
        <v>10.2191516</v>
      </c>
      <c r="F187" s="15">
        <v>3.197641838</v>
      </c>
      <c r="G187" s="13">
        <v>1198.073924</v>
      </c>
      <c r="H187" s="13">
        <v>2</v>
      </c>
      <c r="I187" s="13">
        <v>184</v>
      </c>
      <c r="J187" s="23" t="str">
        <f t="shared" si="4"/>
        <v>LOW HUMAN DEVELOPMENT</v>
      </c>
    </row>
    <row r="188" spans="1:10" s="12" customFormat="1" ht="22.9" customHeight="1">
      <c r="A188" s="13">
        <v>186</v>
      </c>
      <c r="B188" s="8" t="s">
        <v>231</v>
      </c>
      <c r="C188" s="14">
        <v>0.42799999999999999</v>
      </c>
      <c r="D188" s="15">
        <v>58.941400000000002</v>
      </c>
      <c r="E188" s="15">
        <v>7.4230376170000003</v>
      </c>
      <c r="F188" s="15">
        <v>2.31</v>
      </c>
      <c r="G188" s="13">
        <v>2132.6294429999998</v>
      </c>
      <c r="H188" s="13">
        <v>-11</v>
      </c>
      <c r="I188" s="13">
        <v>186</v>
      </c>
      <c r="J188" s="23" t="str">
        <f t="shared" si="4"/>
        <v>LOW HUMAN DEVELOPMENT</v>
      </c>
    </row>
    <row r="189" spans="1:10" s="12" customFormat="1" ht="22.9" customHeight="1">
      <c r="A189" s="13">
        <v>187</v>
      </c>
      <c r="B189" s="8" t="s">
        <v>232</v>
      </c>
      <c r="C189" s="14">
        <v>0.42599999999999999</v>
      </c>
      <c r="D189" s="15">
        <v>61.662700000000001</v>
      </c>
      <c r="E189" s="15">
        <v>10.722721890000001</v>
      </c>
      <c r="F189" s="15">
        <v>3.1292668830000001</v>
      </c>
      <c r="G189" s="13">
        <v>731.7867086</v>
      </c>
      <c r="H189" s="13">
        <v>4</v>
      </c>
      <c r="I189" s="13">
        <v>187</v>
      </c>
      <c r="J189" s="23" t="str">
        <f t="shared" si="4"/>
        <v>LOW HUMAN DEVELOPMENT</v>
      </c>
    </row>
    <row r="190" spans="1:10" s="12" customFormat="1" ht="22.9" customHeight="1">
      <c r="A190" s="13">
        <v>188</v>
      </c>
      <c r="B190" s="8" t="s">
        <v>233</v>
      </c>
      <c r="C190" s="14">
        <v>0.40400000000000003</v>
      </c>
      <c r="D190" s="15">
        <v>53.8947</v>
      </c>
      <c r="E190" s="15">
        <v>8.0401717139999995</v>
      </c>
      <c r="F190" s="15">
        <v>4.3339999999999996</v>
      </c>
      <c r="G190" s="13">
        <v>966.05861070000003</v>
      </c>
      <c r="H190" s="13">
        <v>1</v>
      </c>
      <c r="I190" s="13">
        <v>188</v>
      </c>
      <c r="J190" s="23" t="str">
        <f t="shared" si="4"/>
        <v>LOW HUMAN DEVELOPMENT</v>
      </c>
    </row>
    <row r="191" spans="1:10" s="12" customFormat="1" ht="22.9" customHeight="1">
      <c r="A191" s="13">
        <v>189</v>
      </c>
      <c r="B191" s="8" t="s">
        <v>234</v>
      </c>
      <c r="C191" s="14">
        <v>0.4</v>
      </c>
      <c r="D191" s="15">
        <v>61.576300000000003</v>
      </c>
      <c r="E191" s="15">
        <v>6.9571119880000003</v>
      </c>
      <c r="F191" s="15">
        <v>2.1167172989999998</v>
      </c>
      <c r="G191" s="13">
        <v>1239.8669359999999</v>
      </c>
      <c r="H191" s="13">
        <v>-3</v>
      </c>
      <c r="I191" s="13">
        <v>189</v>
      </c>
      <c r="J191" s="23" t="str">
        <f t="shared" si="4"/>
        <v>LOW HUMAN DEVELOPMENT</v>
      </c>
    </row>
    <row r="192" spans="1:10" s="12" customFormat="1" ht="22.9" customHeight="1">
      <c r="A192" s="13">
        <v>190</v>
      </c>
      <c r="B192" s="8" t="s">
        <v>235</v>
      </c>
      <c r="C192" s="14">
        <v>0.39400000000000002</v>
      </c>
      <c r="D192" s="15">
        <v>52.525399999999998</v>
      </c>
      <c r="E192" s="15">
        <v>8.0359143339999992</v>
      </c>
      <c r="F192" s="15">
        <v>2.5737742099999998</v>
      </c>
      <c r="G192" s="13">
        <v>1364.1694170000001</v>
      </c>
      <c r="H192" s="13">
        <v>-7</v>
      </c>
      <c r="I192" s="13">
        <v>190</v>
      </c>
      <c r="J192" s="23" t="str">
        <f t="shared" si="4"/>
        <v>LOW HUMAN DEVELOPMENT</v>
      </c>
    </row>
    <row r="193" spans="1:10" s="12" customFormat="1" ht="22.9" customHeight="1">
      <c r="A193" s="13">
        <v>191</v>
      </c>
      <c r="B193" s="8" t="s">
        <v>236</v>
      </c>
      <c r="C193" s="14">
        <v>0.38500000000000001</v>
      </c>
      <c r="D193" s="15">
        <v>54.975200000000001</v>
      </c>
      <c r="E193" s="15">
        <v>5.54251</v>
      </c>
      <c r="F193" s="15">
        <v>5.7261400220000001</v>
      </c>
      <c r="G193" s="13">
        <v>767.78700000000003</v>
      </c>
      <c r="H193" s="13">
        <v>-1</v>
      </c>
      <c r="I193" s="13">
        <v>191</v>
      </c>
      <c r="J193" s="23" t="str">
        <f t="shared" si="4"/>
        <v>LOW HUMAN DEVELOPMENT</v>
      </c>
    </row>
    <row r="194" spans="1:10" s="12" customFormat="1" ht="22.9" customHeight="1">
      <c r="A194" s="8"/>
      <c r="B194" s="32"/>
      <c r="C194" s="32"/>
      <c r="D194" s="32"/>
      <c r="E194" s="32"/>
      <c r="F194" s="32"/>
      <c r="G194" s="32"/>
      <c r="H194" s="32"/>
      <c r="I194" s="32"/>
      <c r="J194" s="23"/>
    </row>
    <row r="195" spans="1:10" s="12" customFormat="1" ht="22.9" customHeight="1">
      <c r="A195" s="8"/>
      <c r="B195" s="8"/>
      <c r="C195" s="8"/>
      <c r="D195" s="15"/>
      <c r="E195" s="15"/>
      <c r="F195" s="8"/>
      <c r="G195" s="8"/>
      <c r="H195" s="8"/>
      <c r="I195" s="8"/>
      <c r="J195" s="23"/>
    </row>
    <row r="196" spans="1:10" s="12" customFormat="1" ht="22.9" customHeight="1">
      <c r="A196" s="8"/>
      <c r="B196" s="8"/>
      <c r="C196" s="8"/>
      <c r="D196" s="15"/>
      <c r="E196" s="8"/>
      <c r="F196" s="8"/>
      <c r="G196" s="8"/>
      <c r="H196" s="8"/>
      <c r="I196" s="8"/>
      <c r="J196" s="23"/>
    </row>
    <row r="197" spans="1:10" s="12" customFormat="1" ht="22.9" customHeight="1">
      <c r="A197" s="8"/>
      <c r="B197" s="8"/>
      <c r="C197" s="8"/>
      <c r="D197" s="15"/>
      <c r="E197" s="15"/>
      <c r="F197" s="8"/>
      <c r="G197" s="13"/>
      <c r="H197" s="8"/>
      <c r="I197" s="8"/>
      <c r="J197" s="23"/>
    </row>
    <row r="198" spans="1:10" s="12" customFormat="1" ht="22.9" customHeight="1">
      <c r="A198" s="8"/>
      <c r="B198" s="8"/>
      <c r="C198" s="8"/>
      <c r="D198" s="15"/>
      <c r="E198" s="8"/>
      <c r="F198" s="8"/>
      <c r="G198" s="13"/>
      <c r="H198" s="8"/>
      <c r="I198" s="8"/>
      <c r="J198" s="23"/>
    </row>
    <row r="199" spans="1:10" s="12" customFormat="1" ht="22.9" customHeight="1">
      <c r="A199" s="8"/>
      <c r="B199" s="8"/>
      <c r="C199" s="8"/>
      <c r="D199" s="15"/>
      <c r="E199" s="8"/>
      <c r="F199" s="8"/>
      <c r="G199" s="13"/>
      <c r="H199" s="8"/>
      <c r="I199" s="8"/>
      <c r="J199" s="23"/>
    </row>
    <row r="200" spans="1:10" s="12" customFormat="1" ht="22.9" customHeight="1">
      <c r="A200" s="8"/>
      <c r="B200" s="28"/>
      <c r="C200" s="8"/>
      <c r="D200" s="8"/>
      <c r="E200" s="8"/>
      <c r="F200" s="8"/>
      <c r="G200" s="8"/>
      <c r="H200" s="8"/>
      <c r="I200" s="8"/>
      <c r="J200" s="23"/>
    </row>
    <row r="201" spans="1:10" s="12" customFormat="1" ht="22.9" customHeight="1">
      <c r="A201" s="8"/>
      <c r="B201" s="8"/>
      <c r="C201" s="14"/>
      <c r="D201" s="15"/>
      <c r="E201" s="15"/>
      <c r="F201" s="15"/>
      <c r="G201" s="13"/>
      <c r="H201" s="8"/>
      <c r="I201" s="8"/>
      <c r="J201" s="23"/>
    </row>
    <row r="202" spans="1:10" s="12" customFormat="1" ht="22.9" customHeight="1">
      <c r="A202" s="8"/>
      <c r="B202" s="8"/>
      <c r="C202" s="14"/>
      <c r="D202" s="15"/>
      <c r="E202" s="15"/>
      <c r="F202" s="15"/>
      <c r="G202" s="13"/>
      <c r="H202" s="8"/>
      <c r="I202" s="8"/>
      <c r="J202" s="23"/>
    </row>
    <row r="203" spans="1:10" s="12" customFormat="1" ht="22.9" customHeight="1">
      <c r="A203" s="8"/>
      <c r="B203" s="8"/>
      <c r="C203" s="14"/>
      <c r="D203" s="15"/>
      <c r="E203" s="15"/>
      <c r="F203" s="15"/>
      <c r="G203" s="13"/>
      <c r="H203" s="8"/>
      <c r="I203" s="8"/>
      <c r="J203" s="23"/>
    </row>
    <row r="204" spans="1:10" s="12" customFormat="1" ht="22.9" customHeight="1">
      <c r="A204" s="8"/>
      <c r="B204" s="8"/>
      <c r="C204" s="14"/>
      <c r="D204" s="15"/>
      <c r="E204" s="15"/>
      <c r="F204" s="15"/>
      <c r="G204" s="13"/>
      <c r="H204" s="8"/>
      <c r="I204" s="8"/>
      <c r="J204" s="23"/>
    </row>
    <row r="205" spans="1:10" s="12" customFormat="1" ht="22.9" customHeight="1">
      <c r="A205" s="8"/>
      <c r="B205" s="8"/>
      <c r="C205" s="14"/>
      <c r="D205" s="15"/>
      <c r="E205" s="15"/>
      <c r="F205" s="15"/>
      <c r="G205" s="13"/>
      <c r="H205" s="8"/>
      <c r="I205" s="8"/>
      <c r="J205" s="23"/>
    </row>
    <row r="206" spans="1:10" s="12" customFormat="1" ht="22.9" customHeight="1">
      <c r="A206" s="8"/>
      <c r="B206" s="2"/>
      <c r="C206" s="14"/>
      <c r="D206" s="15"/>
      <c r="E206" s="15"/>
      <c r="F206" s="15"/>
      <c r="G206" s="13"/>
      <c r="H206" s="8"/>
      <c r="I206" s="8"/>
      <c r="J206" s="23"/>
    </row>
    <row r="207" spans="1:10" s="12" customFormat="1" ht="22.9" customHeight="1">
      <c r="A207" s="8"/>
      <c r="B207" s="2"/>
      <c r="C207" s="14"/>
      <c r="D207" s="15"/>
      <c r="E207" s="15"/>
      <c r="F207" s="15"/>
      <c r="G207" s="13"/>
      <c r="H207" s="8"/>
      <c r="I207" s="8"/>
      <c r="J207" s="23"/>
    </row>
    <row r="208" spans="1:10" s="12" customFormat="1" ht="22.9" customHeight="1">
      <c r="A208" s="8"/>
      <c r="B208" s="28"/>
      <c r="C208" s="14"/>
      <c r="D208" s="15"/>
      <c r="E208" s="15"/>
      <c r="F208" s="15"/>
      <c r="G208" s="13"/>
      <c r="H208" s="8"/>
      <c r="I208" s="8"/>
      <c r="J208" s="23"/>
    </row>
    <row r="209" spans="1:10" s="12" customFormat="1" ht="22.9" customHeight="1">
      <c r="A209" s="8"/>
      <c r="B209" s="8"/>
      <c r="C209" s="14"/>
      <c r="D209" s="15"/>
      <c r="E209" s="15"/>
      <c r="F209" s="15"/>
      <c r="G209" s="13"/>
      <c r="H209" s="8"/>
      <c r="I209" s="8"/>
      <c r="J209" s="23"/>
    </row>
    <row r="210" spans="1:10" s="12" customFormat="1" ht="22.9" customHeight="1">
      <c r="A210" s="8"/>
      <c r="B210" s="8"/>
      <c r="C210" s="14"/>
      <c r="D210" s="15"/>
      <c r="E210" s="15"/>
      <c r="F210" s="15"/>
      <c r="G210" s="13"/>
      <c r="H210" s="8"/>
      <c r="I210" s="8"/>
      <c r="J210" s="23"/>
    </row>
    <row r="211" spans="1:10" s="12" customFormat="1" ht="22.9" customHeight="1">
      <c r="A211" s="8"/>
      <c r="B211" s="8"/>
      <c r="C211" s="14"/>
      <c r="D211" s="15"/>
      <c r="E211" s="15"/>
      <c r="F211" s="15"/>
      <c r="G211" s="13"/>
      <c r="H211" s="8"/>
      <c r="I211" s="8"/>
      <c r="J211" s="23"/>
    </row>
    <row r="212" spans="1:10" s="12" customFormat="1" ht="22.9" customHeight="1">
      <c r="A212" s="8"/>
      <c r="B212" s="8"/>
      <c r="C212" s="14"/>
      <c r="D212" s="15"/>
      <c r="E212" s="15"/>
      <c r="F212" s="15"/>
      <c r="G212" s="13"/>
      <c r="H212" s="8"/>
      <c r="I212" s="8"/>
      <c r="J212" s="23"/>
    </row>
    <row r="213" spans="1:10" s="12" customFormat="1" ht="22.9" customHeight="1">
      <c r="A213" s="8"/>
      <c r="B213" s="8"/>
      <c r="C213" s="14"/>
      <c r="D213" s="15"/>
      <c r="E213" s="15"/>
      <c r="F213" s="15"/>
      <c r="G213" s="13"/>
      <c r="H213" s="8"/>
      <c r="I213" s="8"/>
      <c r="J213" s="23"/>
    </row>
    <row r="214" spans="1:10" s="12" customFormat="1" ht="22.9" customHeight="1">
      <c r="A214" s="8"/>
      <c r="B214" s="8"/>
      <c r="C214" s="14"/>
      <c r="D214" s="15"/>
      <c r="E214" s="15"/>
      <c r="F214" s="15"/>
      <c r="G214" s="13"/>
      <c r="H214" s="8"/>
      <c r="I214" s="8"/>
      <c r="J214" s="23"/>
    </row>
    <row r="215" spans="1:10" s="12" customFormat="1" ht="22.9" customHeight="1">
      <c r="A215" s="8"/>
      <c r="B215" s="8"/>
      <c r="C215" s="14"/>
      <c r="D215" s="15"/>
      <c r="E215" s="15"/>
      <c r="F215" s="15"/>
      <c r="G215" s="13"/>
      <c r="H215" s="8"/>
      <c r="I215" s="8"/>
      <c r="J215" s="23"/>
    </row>
    <row r="216" spans="1:10" s="12" customFormat="1" ht="22.9" customHeight="1">
      <c r="A216" s="8"/>
      <c r="B216" s="2"/>
      <c r="C216" s="14"/>
      <c r="D216" s="15"/>
      <c r="E216" s="15"/>
      <c r="F216" s="15"/>
      <c r="G216" s="13"/>
      <c r="H216" s="8"/>
      <c r="I216" s="8"/>
      <c r="J216" s="23"/>
    </row>
    <row r="217" spans="1:10" s="12" customFormat="1" ht="22.9" customHeight="1">
      <c r="A217" s="8"/>
      <c r="B217" s="28"/>
      <c r="C217" s="14"/>
      <c r="D217" s="15"/>
      <c r="E217" s="15"/>
      <c r="F217" s="15"/>
      <c r="G217" s="13"/>
      <c r="H217" s="8"/>
      <c r="I217" s="8"/>
      <c r="J217" s="23"/>
    </row>
    <row r="218" spans="1:10" s="12" customFormat="1" ht="22.9" customHeight="1">
      <c r="A218" s="8"/>
      <c r="B218" s="28"/>
      <c r="C218" s="14"/>
      <c r="D218" s="15"/>
      <c r="E218" s="15"/>
      <c r="F218" s="15"/>
      <c r="G218" s="13"/>
      <c r="H218" s="8"/>
      <c r="I218" s="8"/>
      <c r="J218" s="23"/>
    </row>
    <row r="219" spans="1:10" s="12" customFormat="1" ht="22.9" customHeight="1">
      <c r="A219" s="8"/>
      <c r="B219" s="28"/>
      <c r="C219" s="14"/>
      <c r="D219" s="15"/>
      <c r="E219" s="15"/>
      <c r="F219" s="15"/>
      <c r="G219" s="13"/>
      <c r="H219" s="8"/>
      <c r="I219" s="8"/>
      <c r="J219" s="23"/>
    </row>
    <row r="220" spans="1:10" s="12" customFormat="1" ht="22.9" customHeight="1">
      <c r="A220" s="8"/>
      <c r="B220" s="28"/>
      <c r="C220" s="14"/>
      <c r="D220" s="15"/>
      <c r="E220" s="15"/>
      <c r="F220" s="15"/>
      <c r="G220" s="13"/>
      <c r="H220" s="8"/>
      <c r="I220" s="8"/>
      <c r="J220" s="23"/>
    </row>
    <row r="221" spans="1:10" s="12" customFormat="1" ht="22.9" customHeight="1">
      <c r="A221" s="8"/>
      <c r="B221" s="2"/>
      <c r="C221" s="14"/>
      <c r="D221" s="15"/>
      <c r="E221" s="15"/>
      <c r="F221" s="15"/>
      <c r="G221" s="13"/>
      <c r="H221" s="8"/>
      <c r="I221" s="8"/>
      <c r="J221" s="23"/>
    </row>
    <row r="222" spans="1:10">
      <c r="A222" s="27"/>
      <c r="B222" s="27"/>
      <c r="C222" s="27"/>
      <c r="D222" s="27"/>
      <c r="E222" s="27"/>
      <c r="F222" s="27"/>
      <c r="G222" s="27"/>
      <c r="H222" s="27"/>
      <c r="I222" s="27"/>
      <c r="J222" s="21"/>
    </row>
    <row r="223" spans="1:10">
      <c r="A223" s="27"/>
      <c r="B223" s="3"/>
      <c r="C223" s="27"/>
      <c r="D223" s="27"/>
      <c r="E223" s="27"/>
      <c r="F223" s="27"/>
      <c r="G223" s="27"/>
      <c r="H223" s="27"/>
      <c r="I223" s="27"/>
      <c r="J223" s="21"/>
    </row>
    <row r="224" spans="1:10" ht="25.9" customHeight="1">
      <c r="A224" s="27"/>
      <c r="B224" s="27"/>
      <c r="C224" s="27"/>
      <c r="D224" s="27"/>
      <c r="E224" s="27"/>
      <c r="F224" s="27"/>
      <c r="G224" s="27"/>
      <c r="H224" s="27"/>
      <c r="I224" s="27"/>
      <c r="J224" s="21"/>
    </row>
    <row r="225" spans="1:10" ht="25.9" customHeight="1">
      <c r="A225" s="27"/>
      <c r="B225" s="27"/>
      <c r="C225" s="27"/>
      <c r="D225" s="27"/>
      <c r="E225" s="27"/>
      <c r="F225" s="27"/>
      <c r="G225" s="27"/>
      <c r="H225" s="27"/>
      <c r="I225" s="27"/>
      <c r="J225" s="21"/>
    </row>
    <row r="226" spans="1:10" ht="25.9" customHeight="1">
      <c r="A226" s="27"/>
      <c r="B226" s="27"/>
      <c r="C226" s="27"/>
      <c r="D226" s="27"/>
      <c r="E226" s="27"/>
      <c r="F226" s="27"/>
      <c r="G226" s="27"/>
      <c r="H226" s="27"/>
      <c r="I226" s="27"/>
      <c r="J226" s="21"/>
    </row>
    <row r="227" spans="1:10" ht="25.9" customHeight="1">
      <c r="A227" s="27"/>
      <c r="B227" s="27"/>
      <c r="C227" s="27"/>
      <c r="D227" s="27"/>
      <c r="E227" s="27"/>
      <c r="F227" s="27"/>
      <c r="G227" s="27"/>
      <c r="H227" s="27"/>
      <c r="I227" s="27"/>
      <c r="J227" s="21"/>
    </row>
    <row r="228" spans="1:10" ht="25.9" customHeight="1">
      <c r="A228" s="27"/>
      <c r="B228" s="27"/>
      <c r="C228" s="27"/>
      <c r="D228" s="27"/>
      <c r="E228" s="27"/>
      <c r="F228" s="27"/>
      <c r="G228" s="27"/>
      <c r="H228" s="27"/>
      <c r="I228" s="27"/>
      <c r="J228" s="21"/>
    </row>
    <row r="229" spans="1:10" ht="25.9" customHeight="1">
      <c r="A229" s="27"/>
      <c r="B229" s="27"/>
      <c r="C229" s="27"/>
      <c r="D229" s="27"/>
      <c r="E229" s="27"/>
      <c r="F229" s="27"/>
      <c r="G229" s="27"/>
      <c r="H229" s="27"/>
      <c r="I229" s="27"/>
      <c r="J229" s="21"/>
    </row>
    <row r="230" spans="1:10" ht="25.9" customHeight="1">
      <c r="A230" s="27"/>
      <c r="B230" s="27"/>
      <c r="C230" s="27"/>
      <c r="D230" s="27"/>
      <c r="E230" s="27"/>
      <c r="F230" s="27"/>
      <c r="G230" s="27"/>
      <c r="H230" s="27"/>
      <c r="I230" s="27"/>
      <c r="J230" s="21"/>
    </row>
    <row r="231" spans="1:10" ht="25.9" customHeight="1">
      <c r="A231" s="27"/>
      <c r="B231" s="27"/>
      <c r="C231" s="27"/>
      <c r="D231" s="27"/>
      <c r="E231" s="27"/>
      <c r="F231" s="27"/>
      <c r="G231" s="27"/>
      <c r="H231" s="27"/>
      <c r="I231" s="27"/>
      <c r="J231" s="21"/>
    </row>
    <row r="232" spans="1:10" ht="25.9" customHeight="1">
      <c r="A232" s="27"/>
      <c r="B232" s="27"/>
      <c r="C232" s="27"/>
      <c r="D232" s="27"/>
      <c r="E232" s="27"/>
      <c r="F232" s="27"/>
      <c r="G232" s="27"/>
      <c r="H232" s="27"/>
      <c r="I232" s="27"/>
      <c r="J232" s="21"/>
    </row>
    <row r="233" spans="1:10" ht="25.9" customHeight="1">
      <c r="A233" s="27"/>
      <c r="B233" s="27"/>
      <c r="C233" s="27"/>
      <c r="D233" s="27"/>
      <c r="E233" s="27"/>
      <c r="F233" s="27"/>
      <c r="G233" s="27"/>
      <c r="H233" s="27"/>
      <c r="I233" s="27"/>
      <c r="J233" s="21"/>
    </row>
    <row r="234" spans="1:10" ht="25.9" customHeight="1">
      <c r="A234" s="27"/>
      <c r="B234" s="27"/>
      <c r="C234" s="27"/>
      <c r="D234" s="27"/>
      <c r="E234" s="27"/>
      <c r="F234" s="27"/>
      <c r="G234" s="27"/>
      <c r="H234" s="27"/>
      <c r="I234" s="27"/>
      <c r="J234" s="21"/>
    </row>
    <row r="235" spans="1:10" ht="25.9" customHeight="1">
      <c r="A235" s="27"/>
      <c r="B235" s="27"/>
      <c r="C235" s="27"/>
      <c r="D235" s="27"/>
      <c r="E235" s="27"/>
      <c r="F235" s="27"/>
      <c r="G235" s="27"/>
      <c r="H235" s="27"/>
      <c r="I235" s="27"/>
      <c r="J235" s="21"/>
    </row>
    <row r="236" spans="1:10" ht="25.9" customHeight="1">
      <c r="A236" s="27"/>
      <c r="B236" s="27"/>
      <c r="C236" s="27"/>
      <c r="D236" s="27"/>
      <c r="E236" s="27"/>
      <c r="F236" s="27"/>
      <c r="G236" s="27"/>
      <c r="H236" s="27"/>
      <c r="I236" s="27"/>
      <c r="J236" s="21"/>
    </row>
    <row r="237" spans="1:10" ht="25.9" customHeight="1">
      <c r="A237" s="27"/>
      <c r="B237" s="27"/>
      <c r="C237" s="27"/>
      <c r="D237" s="27"/>
      <c r="E237" s="27"/>
      <c r="F237" s="27"/>
      <c r="G237" s="27"/>
      <c r="H237" s="27"/>
      <c r="I237" s="27"/>
      <c r="J237" s="21"/>
    </row>
    <row r="238" spans="1:10" ht="25.9" customHeight="1">
      <c r="A238" s="27"/>
      <c r="B238" s="27"/>
      <c r="C238" s="27"/>
      <c r="D238" s="27"/>
      <c r="E238" s="27"/>
      <c r="F238" s="27"/>
      <c r="G238" s="27"/>
      <c r="H238" s="27"/>
      <c r="I238" s="27"/>
      <c r="J238" s="21"/>
    </row>
    <row r="239" spans="1:10" ht="25.9" customHeight="1">
      <c r="A239" s="27"/>
      <c r="B239" s="27"/>
      <c r="C239" s="27"/>
      <c r="D239" s="27"/>
      <c r="E239" s="27"/>
      <c r="F239" s="27"/>
      <c r="G239" s="27"/>
      <c r="H239" s="27"/>
      <c r="I239" s="27"/>
      <c r="J239" s="21"/>
    </row>
    <row r="240" spans="1:10" ht="25.9" customHeight="1">
      <c r="A240" s="27"/>
      <c r="B240" s="27"/>
      <c r="C240" s="27"/>
      <c r="D240" s="27"/>
      <c r="E240" s="27"/>
      <c r="F240" s="27"/>
      <c r="G240" s="27"/>
      <c r="H240" s="27"/>
      <c r="I240" s="27"/>
      <c r="J240" s="21"/>
    </row>
    <row r="241" spans="1:10" ht="25.9" customHeight="1">
      <c r="A241" s="27"/>
      <c r="B241" s="27"/>
      <c r="C241" s="27"/>
      <c r="D241" s="27"/>
      <c r="E241" s="27"/>
      <c r="F241" s="27"/>
      <c r="G241" s="27"/>
      <c r="H241" s="27"/>
      <c r="I241" s="27"/>
      <c r="J241" s="21"/>
    </row>
    <row r="242" spans="1:10" ht="25.9" customHeight="1">
      <c r="A242" s="27"/>
      <c r="B242" s="27"/>
      <c r="C242" s="27"/>
      <c r="D242" s="27"/>
      <c r="E242" s="27"/>
      <c r="F242" s="27"/>
      <c r="G242" s="27"/>
      <c r="H242" s="27"/>
      <c r="I242" s="27"/>
      <c r="J242" s="21"/>
    </row>
    <row r="243" spans="1:10" ht="25.9" customHeight="1">
      <c r="A243" s="27"/>
      <c r="B243" s="27"/>
      <c r="C243" s="27"/>
      <c r="D243" s="27"/>
      <c r="E243" s="27"/>
      <c r="F243" s="27"/>
      <c r="G243" s="27"/>
      <c r="H243" s="27"/>
      <c r="I243" s="27"/>
      <c r="J243" s="21"/>
    </row>
    <row r="244" spans="1:10" ht="25.9" customHeight="1">
      <c r="A244" s="27"/>
      <c r="B244" s="27"/>
      <c r="C244" s="27"/>
      <c r="D244" s="27"/>
      <c r="E244" s="27"/>
      <c r="F244" s="27"/>
      <c r="G244" s="27"/>
      <c r="H244" s="27"/>
      <c r="I244" s="27"/>
      <c r="J244" s="21"/>
    </row>
    <row r="245" spans="1:10" ht="25.9" customHeight="1">
      <c r="A245" s="27"/>
      <c r="B245" s="27"/>
      <c r="C245" s="27"/>
      <c r="D245" s="27"/>
      <c r="E245" s="27"/>
      <c r="F245" s="27"/>
      <c r="G245" s="27"/>
      <c r="H245" s="27"/>
      <c r="I245" s="27"/>
      <c r="J245" s="21"/>
    </row>
    <row r="246" spans="1:10" ht="25.9" customHeight="1">
      <c r="A246" s="27"/>
      <c r="B246" s="27"/>
      <c r="C246" s="27"/>
      <c r="D246" s="27"/>
      <c r="E246" s="27"/>
      <c r="F246" s="27"/>
      <c r="G246" s="27"/>
      <c r="H246" s="27"/>
      <c r="I246" s="27"/>
      <c r="J246" s="21"/>
    </row>
    <row r="247" spans="1:10" ht="25.9" customHeight="1">
      <c r="A247" s="27"/>
      <c r="B247" s="27"/>
      <c r="C247" s="27"/>
      <c r="D247" s="27"/>
      <c r="E247" s="27"/>
      <c r="F247" s="27"/>
      <c r="G247" s="27"/>
      <c r="H247" s="27"/>
      <c r="I247" s="27"/>
      <c r="J247" s="21"/>
    </row>
    <row r="248" spans="1:10" ht="25.9" customHeight="1">
      <c r="A248" s="27"/>
      <c r="B248" s="27"/>
      <c r="C248" s="27"/>
      <c r="D248" s="27"/>
      <c r="E248" s="27"/>
      <c r="F248" s="27"/>
      <c r="G248" s="27"/>
      <c r="H248" s="27"/>
      <c r="I248" s="27"/>
      <c r="J248" s="21"/>
    </row>
    <row r="249" spans="1:10" ht="25.9" customHeight="1">
      <c r="A249" s="27"/>
      <c r="B249" s="27"/>
      <c r="C249" s="27"/>
      <c r="D249" s="27"/>
      <c r="E249" s="27"/>
      <c r="F249" s="27"/>
      <c r="G249" s="27"/>
      <c r="H249" s="27"/>
      <c r="I249" s="27"/>
      <c r="J249" s="21"/>
    </row>
    <row r="250" spans="1:10" ht="25.9" customHeight="1">
      <c r="A250" s="27"/>
      <c r="B250" s="27"/>
      <c r="C250" s="27"/>
      <c r="D250" s="27"/>
      <c r="E250" s="27"/>
      <c r="F250" s="27"/>
      <c r="G250" s="27"/>
      <c r="H250" s="27"/>
      <c r="I250" s="27"/>
      <c r="J250" s="21"/>
    </row>
    <row r="251" spans="1:10">
      <c r="A251" s="27"/>
      <c r="B251" s="27"/>
      <c r="C251" s="27"/>
      <c r="D251" s="27"/>
      <c r="E251" s="27"/>
      <c r="F251" s="27"/>
      <c r="G251" s="27"/>
      <c r="H251" s="27"/>
      <c r="I251" s="27"/>
      <c r="J251" s="21"/>
    </row>
    <row r="252" spans="1:10">
      <c r="A252" s="27"/>
      <c r="B252" s="27"/>
      <c r="C252" s="27"/>
      <c r="D252" s="27"/>
      <c r="E252" s="27"/>
      <c r="F252" s="27"/>
      <c r="G252" s="27"/>
      <c r="H252" s="27"/>
      <c r="I252" s="27"/>
      <c r="J252" s="21"/>
    </row>
    <row r="253" spans="1:10">
      <c r="A253" s="27"/>
      <c r="B253" s="17"/>
      <c r="C253" s="27"/>
      <c r="D253" s="27"/>
      <c r="E253" s="27"/>
      <c r="F253" s="27"/>
      <c r="G253" s="27"/>
      <c r="H253" s="27"/>
      <c r="I253" s="27"/>
      <c r="J253" s="21"/>
    </row>
    <row r="254" spans="1:10" ht="28.5" customHeight="1">
      <c r="A254" s="27"/>
      <c r="B254" s="31"/>
      <c r="C254" s="31"/>
      <c r="D254" s="31"/>
      <c r="E254" s="31"/>
      <c r="F254" s="31"/>
      <c r="G254" s="31"/>
      <c r="H254" s="31"/>
      <c r="I254" s="31"/>
      <c r="J254" s="21"/>
    </row>
    <row r="255" spans="1:10" ht="20.65" customHeight="1">
      <c r="A255" s="27"/>
      <c r="B255" s="33"/>
      <c r="C255" s="33"/>
      <c r="D255" s="33"/>
      <c r="E255" s="33"/>
      <c r="F255" s="33"/>
      <c r="G255" s="33"/>
      <c r="H255" s="33"/>
      <c r="I255" s="33"/>
      <c r="J255" s="21"/>
    </row>
    <row r="256" spans="1:10" ht="20.65" customHeight="1">
      <c r="A256" s="27"/>
      <c r="B256" s="33"/>
      <c r="C256" s="33"/>
      <c r="D256" s="33"/>
      <c r="E256" s="33"/>
      <c r="F256" s="33"/>
      <c r="G256" s="33"/>
      <c r="H256" s="33"/>
      <c r="I256" s="33"/>
      <c r="J256" s="21"/>
    </row>
    <row r="257" spans="1:10" ht="20.65" customHeight="1">
      <c r="A257" s="27"/>
      <c r="B257" s="33"/>
      <c r="C257" s="33"/>
      <c r="D257" s="33"/>
      <c r="E257" s="33"/>
      <c r="F257" s="33"/>
      <c r="G257" s="33"/>
      <c r="H257" s="33"/>
      <c r="I257" s="33"/>
      <c r="J257" s="21"/>
    </row>
    <row r="258" spans="1:10" ht="20.65" customHeight="1">
      <c r="A258" s="27"/>
      <c r="B258" s="33"/>
      <c r="C258" s="33"/>
      <c r="D258" s="33"/>
      <c r="E258" s="33"/>
      <c r="F258" s="33"/>
      <c r="G258" s="33"/>
      <c r="H258" s="33"/>
      <c r="I258" s="33"/>
      <c r="J258" s="21"/>
    </row>
    <row r="259" spans="1:10" ht="20.65" customHeight="1">
      <c r="A259" s="27"/>
      <c r="B259" s="33"/>
      <c r="C259" s="33"/>
      <c r="D259" s="33"/>
      <c r="E259" s="33"/>
      <c r="F259" s="33"/>
      <c r="G259" s="33"/>
      <c r="H259" s="33"/>
      <c r="I259" s="33"/>
      <c r="J259" s="21"/>
    </row>
    <row r="260" spans="1:10" ht="20.65" customHeight="1">
      <c r="A260" s="27"/>
      <c r="B260" s="33"/>
      <c r="C260" s="33"/>
      <c r="D260" s="33"/>
      <c r="E260" s="33"/>
      <c r="F260" s="33"/>
      <c r="G260" s="33"/>
      <c r="H260" s="33"/>
      <c r="I260" s="33"/>
      <c r="J260" s="21"/>
    </row>
    <row r="261" spans="1:10">
      <c r="A261" s="27"/>
      <c r="B261" s="27"/>
      <c r="C261" s="27"/>
      <c r="D261" s="27"/>
      <c r="E261" s="27"/>
      <c r="F261" s="27"/>
      <c r="G261" s="27"/>
      <c r="H261" s="27"/>
      <c r="I261" s="27"/>
      <c r="J261" s="21"/>
    </row>
    <row r="262" spans="1:10">
      <c r="A262" s="27"/>
      <c r="B262" s="17"/>
      <c r="C262" s="27"/>
      <c r="D262" s="27"/>
      <c r="E262" s="27"/>
      <c r="F262" s="27"/>
      <c r="G262" s="27"/>
      <c r="H262" s="27"/>
      <c r="I262" s="27"/>
      <c r="J262" s="21"/>
    </row>
    <row r="263" spans="1:10" ht="20.65" customHeight="1">
      <c r="A263" s="27"/>
      <c r="B263" s="33"/>
      <c r="C263" s="33"/>
      <c r="D263" s="33"/>
      <c r="E263" s="33"/>
      <c r="F263" s="33"/>
      <c r="G263" s="33"/>
      <c r="H263" s="33"/>
      <c r="I263" s="33"/>
      <c r="J263" s="21"/>
    </row>
    <row r="264" spans="1:10" ht="20.65" customHeight="1">
      <c r="A264" s="27"/>
      <c r="B264" s="33"/>
      <c r="C264" s="33"/>
      <c r="D264" s="33"/>
      <c r="E264" s="33"/>
      <c r="F264" s="33"/>
      <c r="G264" s="33"/>
      <c r="H264" s="33"/>
      <c r="I264" s="33"/>
      <c r="J264" s="21"/>
    </row>
    <row r="265" spans="1:10" ht="20.65" customHeight="1">
      <c r="A265" s="27"/>
      <c r="B265" s="33"/>
      <c r="C265" s="33"/>
      <c r="D265" s="33"/>
      <c r="E265" s="33"/>
      <c r="F265" s="33"/>
      <c r="G265" s="33"/>
      <c r="H265" s="33"/>
      <c r="I265" s="33"/>
      <c r="J265" s="21"/>
    </row>
    <row r="266" spans="1:10" ht="20.65" customHeight="1">
      <c r="A266" s="27"/>
      <c r="B266" s="33"/>
      <c r="C266" s="33"/>
      <c r="D266" s="33"/>
      <c r="E266" s="33"/>
      <c r="F266" s="33"/>
      <c r="G266" s="33"/>
      <c r="H266" s="33"/>
      <c r="I266" s="33"/>
      <c r="J266" s="21"/>
    </row>
    <row r="267" spans="1:10" ht="20.65" customHeight="1">
      <c r="A267" s="27"/>
      <c r="B267" s="33"/>
      <c r="C267" s="33"/>
      <c r="D267" s="33"/>
      <c r="E267" s="33"/>
      <c r="F267" s="33"/>
      <c r="G267" s="33"/>
      <c r="H267" s="33"/>
      <c r="I267" s="33"/>
      <c r="J267" s="21"/>
    </row>
    <row r="268" spans="1:10" ht="20.65" customHeight="1">
      <c r="A268" s="27"/>
      <c r="B268" s="33"/>
      <c r="C268" s="33"/>
      <c r="D268" s="33"/>
      <c r="E268" s="33"/>
      <c r="F268" s="33"/>
      <c r="G268" s="33"/>
      <c r="H268" s="33"/>
      <c r="I268" s="33"/>
      <c r="J268" s="21"/>
    </row>
    <row r="269" spans="1:10">
      <c r="A269" s="27"/>
      <c r="B269" s="27"/>
      <c r="C269" s="27"/>
      <c r="D269" s="27"/>
      <c r="E269" s="27"/>
      <c r="F269" s="27"/>
      <c r="G269" s="27"/>
      <c r="H269" s="27"/>
      <c r="I269" s="27"/>
      <c r="J269" s="21"/>
    </row>
  </sheetData>
  <autoFilter ref="A1:P276" xr:uid="{69874AC8-1857-419A-88E9-1CABD2BD9AF7}"/>
  <mergeCells count="14">
    <mergeCell ref="B194:I194"/>
    <mergeCell ref="B254:I254"/>
    <mergeCell ref="B268:I268"/>
    <mergeCell ref="B255:I255"/>
    <mergeCell ref="B256:I256"/>
    <mergeCell ref="B257:I257"/>
    <mergeCell ref="B258:I258"/>
    <mergeCell ref="B259:I259"/>
    <mergeCell ref="B260:I260"/>
    <mergeCell ref="B263:I263"/>
    <mergeCell ref="B264:I264"/>
    <mergeCell ref="B265:I265"/>
    <mergeCell ref="B266:I266"/>
    <mergeCell ref="B267:I2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4F16-C6DA-4D7E-93BD-2A142FADFD47}">
  <dimension ref="A3:C93"/>
  <sheetViews>
    <sheetView zoomScale="97" zoomScaleNormal="100" workbookViewId="0">
      <selection activeCell="B12" sqref="B12"/>
    </sheetView>
  </sheetViews>
  <sheetFormatPr defaultRowHeight="14.45"/>
  <cols>
    <col min="1" max="1" width="20.7109375" bestFit="1" customWidth="1"/>
    <col min="2" max="2" width="30.7109375" bestFit="1" customWidth="1"/>
    <col min="3" max="3" width="29.28515625" bestFit="1" customWidth="1"/>
    <col min="4" max="11" width="22.140625" bestFit="1" customWidth="1"/>
    <col min="12" max="12" width="11.140625" bestFit="1" customWidth="1"/>
    <col min="13" max="13" width="7.140625" bestFit="1" customWidth="1"/>
    <col min="14" max="14" width="6" bestFit="1" customWidth="1"/>
    <col min="15" max="16" width="7.140625" bestFit="1" customWidth="1"/>
    <col min="17" max="17" width="8.7109375" bestFit="1" customWidth="1"/>
    <col min="18" max="19" width="7.140625" bestFit="1" customWidth="1"/>
    <col min="20" max="20" width="6" bestFit="1" customWidth="1"/>
    <col min="21" max="21" width="7.140625" bestFit="1" customWidth="1"/>
    <col min="22" max="23" width="8.7109375" bestFit="1" customWidth="1"/>
    <col min="24" max="27" width="7.140625" bestFit="1" customWidth="1"/>
    <col min="28" max="30" width="8.7109375" bestFit="1" customWidth="1"/>
    <col min="31" max="34" width="7.140625" bestFit="1" customWidth="1"/>
    <col min="35" max="37" width="8.7109375" bestFit="1" customWidth="1"/>
    <col min="38" max="38" width="7.140625" bestFit="1" customWidth="1"/>
    <col min="39" max="42" width="8.7109375" bestFit="1" customWidth="1"/>
    <col min="43" max="49" width="7.140625" bestFit="1" customWidth="1"/>
    <col min="50" max="50" width="6" bestFit="1" customWidth="1"/>
    <col min="51" max="51" width="7.140625" bestFit="1" customWidth="1"/>
    <col min="52" max="54" width="6" bestFit="1" customWidth="1"/>
    <col min="55" max="55" width="7.140625" bestFit="1" customWidth="1"/>
    <col min="56" max="57" width="6" bestFit="1" customWidth="1"/>
    <col min="58" max="58" width="11.140625" bestFit="1" customWidth="1"/>
    <col min="59" max="59" width="7.85546875" bestFit="1" customWidth="1"/>
    <col min="60" max="60" width="10.7109375" bestFit="1" customWidth="1"/>
    <col min="61" max="61" width="7.85546875" bestFit="1" customWidth="1"/>
    <col min="62" max="62" width="10.7109375" bestFit="1" customWidth="1"/>
    <col min="63" max="63" width="7.85546875" bestFit="1" customWidth="1"/>
    <col min="64" max="64" width="10.7109375" bestFit="1" customWidth="1"/>
    <col min="65" max="65" width="7.85546875" bestFit="1" customWidth="1"/>
    <col min="66" max="66" width="10.7109375" bestFit="1" customWidth="1"/>
    <col min="67" max="67" width="7.85546875" bestFit="1" customWidth="1"/>
    <col min="68" max="68" width="10.7109375" bestFit="1" customWidth="1"/>
    <col min="69" max="69" width="7.85546875" bestFit="1" customWidth="1"/>
    <col min="70" max="70" width="10.7109375" bestFit="1" customWidth="1"/>
    <col min="71" max="71" width="7.85546875" bestFit="1" customWidth="1"/>
    <col min="72" max="72" width="10.7109375" bestFit="1" customWidth="1"/>
    <col min="73" max="73" width="7.85546875" bestFit="1" customWidth="1"/>
    <col min="74" max="74" width="10.7109375" bestFit="1" customWidth="1"/>
    <col min="75" max="75" width="7.85546875" bestFit="1" customWidth="1"/>
    <col min="76" max="76" width="10.7109375" bestFit="1" customWidth="1"/>
    <col min="77" max="77" width="7.85546875" bestFit="1" customWidth="1"/>
    <col min="78" max="78" width="10.7109375" bestFit="1" customWidth="1"/>
    <col min="79" max="79" width="7.85546875" bestFit="1" customWidth="1"/>
    <col min="80" max="80" width="10.7109375" bestFit="1" customWidth="1"/>
    <col min="81" max="81" width="7.85546875" bestFit="1" customWidth="1"/>
    <col min="82" max="82" width="10.7109375" bestFit="1" customWidth="1"/>
    <col min="83" max="83" width="7.85546875" bestFit="1" customWidth="1"/>
    <col min="84" max="84" width="10.7109375" bestFit="1" customWidth="1"/>
    <col min="85" max="85" width="7.85546875" bestFit="1" customWidth="1"/>
    <col min="86" max="86" width="10.7109375" bestFit="1" customWidth="1"/>
    <col min="87" max="87" width="7.85546875" bestFit="1" customWidth="1"/>
    <col min="88" max="88" width="10.7109375" bestFit="1" customWidth="1"/>
    <col min="89" max="89" width="7.85546875" bestFit="1" customWidth="1"/>
    <col min="90" max="90" width="10.7109375" bestFit="1" customWidth="1"/>
    <col min="91" max="91" width="7.85546875" bestFit="1" customWidth="1"/>
    <col min="92" max="92" width="10.7109375" bestFit="1" customWidth="1"/>
    <col min="93" max="93" width="7.85546875" bestFit="1" customWidth="1"/>
    <col min="94" max="94" width="10.7109375" bestFit="1" customWidth="1"/>
    <col min="95" max="95" width="7.85546875" bestFit="1" customWidth="1"/>
    <col min="96" max="96" width="10.7109375" bestFit="1" customWidth="1"/>
    <col min="97" max="97" width="7.85546875" bestFit="1" customWidth="1"/>
    <col min="98" max="98" width="10.7109375" bestFit="1" customWidth="1"/>
    <col min="99" max="99" width="7.85546875" bestFit="1" customWidth="1"/>
    <col min="100" max="100" width="10.7109375" bestFit="1" customWidth="1"/>
    <col min="101" max="101" width="7.85546875" bestFit="1" customWidth="1"/>
    <col min="102" max="102" width="10.7109375" bestFit="1" customWidth="1"/>
    <col min="103" max="103" width="7.85546875" bestFit="1" customWidth="1"/>
    <col min="104" max="104" width="10.7109375" bestFit="1" customWidth="1"/>
    <col min="105" max="105" width="7.85546875" bestFit="1" customWidth="1"/>
    <col min="106" max="106" width="10.7109375" bestFit="1" customWidth="1"/>
    <col min="107" max="107" width="7.85546875" bestFit="1" customWidth="1"/>
    <col min="108" max="108" width="10.7109375" bestFit="1" customWidth="1"/>
    <col min="109" max="109" width="7.85546875" bestFit="1" customWidth="1"/>
    <col min="110" max="110" width="10.7109375" bestFit="1" customWidth="1"/>
    <col min="111" max="111" width="7.85546875" bestFit="1" customWidth="1"/>
    <col min="112" max="112" width="10.7109375" bestFit="1" customWidth="1"/>
    <col min="113" max="113" width="7.85546875" bestFit="1" customWidth="1"/>
    <col min="114" max="114" width="10.7109375" bestFit="1" customWidth="1"/>
    <col min="115" max="115" width="7.85546875" bestFit="1" customWidth="1"/>
    <col min="116" max="116" width="10.7109375" bestFit="1" customWidth="1"/>
    <col min="117" max="117" width="7.85546875" bestFit="1" customWidth="1"/>
    <col min="118" max="118" width="10.7109375" bestFit="1" customWidth="1"/>
    <col min="119" max="119" width="7.85546875" bestFit="1" customWidth="1"/>
    <col min="120" max="120" width="10.7109375" bestFit="1" customWidth="1"/>
    <col min="121" max="121" width="7.85546875" bestFit="1" customWidth="1"/>
    <col min="122" max="122" width="10.7109375" bestFit="1" customWidth="1"/>
    <col min="123" max="123" width="7.85546875" bestFit="1" customWidth="1"/>
    <col min="124" max="124" width="10.7109375" bestFit="1" customWidth="1"/>
    <col min="125" max="125" width="7.85546875" bestFit="1" customWidth="1"/>
    <col min="126" max="126" width="10.7109375" bestFit="1" customWidth="1"/>
    <col min="127" max="127" width="7.85546875" bestFit="1" customWidth="1"/>
    <col min="128" max="128" width="10.7109375" bestFit="1" customWidth="1"/>
    <col min="129" max="129" width="7.85546875" bestFit="1" customWidth="1"/>
    <col min="130" max="130" width="10.7109375" bestFit="1" customWidth="1"/>
    <col min="131" max="131" width="7.85546875" bestFit="1" customWidth="1"/>
    <col min="132" max="132" width="10.7109375" bestFit="1" customWidth="1"/>
    <col min="133" max="133" width="7.85546875" bestFit="1" customWidth="1"/>
    <col min="134" max="134" width="10.7109375" bestFit="1" customWidth="1"/>
    <col min="135" max="135" width="7.85546875" bestFit="1" customWidth="1"/>
    <col min="136" max="136" width="10.7109375" bestFit="1" customWidth="1"/>
    <col min="137" max="137" width="7.85546875" bestFit="1" customWidth="1"/>
    <col min="138" max="138" width="10.7109375" bestFit="1" customWidth="1"/>
    <col min="139" max="139" width="7.85546875" bestFit="1" customWidth="1"/>
    <col min="140" max="140" width="10.7109375" bestFit="1" customWidth="1"/>
    <col min="141" max="141" width="7.85546875" bestFit="1" customWidth="1"/>
    <col min="142" max="142" width="10.7109375" bestFit="1" customWidth="1"/>
    <col min="143" max="143" width="7.85546875" bestFit="1" customWidth="1"/>
    <col min="144" max="144" width="10.7109375" bestFit="1" customWidth="1"/>
    <col min="145" max="145" width="7.85546875" bestFit="1" customWidth="1"/>
    <col min="146" max="146" width="10.7109375" bestFit="1" customWidth="1"/>
    <col min="147" max="147" width="7.85546875" bestFit="1" customWidth="1"/>
    <col min="148" max="148" width="10.7109375" bestFit="1" customWidth="1"/>
    <col min="149" max="149" width="7.85546875" bestFit="1" customWidth="1"/>
    <col min="150" max="150" width="10.7109375" bestFit="1" customWidth="1"/>
    <col min="151" max="151" width="7.85546875" bestFit="1" customWidth="1"/>
    <col min="152" max="152" width="10.7109375" bestFit="1" customWidth="1"/>
    <col min="153" max="153" width="7.85546875" bestFit="1" customWidth="1"/>
    <col min="154" max="154" width="10.7109375" bestFit="1" customWidth="1"/>
    <col min="155" max="155" width="7.85546875" bestFit="1" customWidth="1"/>
    <col min="156" max="156" width="10.7109375" bestFit="1" customWidth="1"/>
    <col min="157" max="157" width="7.85546875" bestFit="1" customWidth="1"/>
    <col min="158" max="158" width="10.7109375" bestFit="1" customWidth="1"/>
    <col min="159" max="159" width="7.85546875" bestFit="1" customWidth="1"/>
    <col min="160" max="160" width="10.7109375" bestFit="1" customWidth="1"/>
    <col min="161" max="161" width="7.85546875" bestFit="1" customWidth="1"/>
    <col min="162" max="162" width="10.7109375" bestFit="1" customWidth="1"/>
    <col min="163" max="163" width="7.85546875" bestFit="1" customWidth="1"/>
    <col min="164" max="164" width="10.7109375" bestFit="1" customWidth="1"/>
    <col min="165" max="165" width="7.85546875" bestFit="1" customWidth="1"/>
    <col min="166" max="166" width="10.7109375" bestFit="1" customWidth="1"/>
    <col min="167" max="167" width="7.85546875" bestFit="1" customWidth="1"/>
    <col min="168" max="168" width="10.7109375" bestFit="1" customWidth="1"/>
    <col min="169" max="169" width="9" bestFit="1" customWidth="1"/>
    <col min="170" max="170" width="11.7109375" bestFit="1" customWidth="1"/>
    <col min="171" max="171" width="9" bestFit="1" customWidth="1"/>
    <col min="172" max="172" width="11.7109375" bestFit="1" customWidth="1"/>
    <col min="173" max="173" width="9" bestFit="1" customWidth="1"/>
    <col min="174" max="174" width="11.7109375" bestFit="1" customWidth="1"/>
    <col min="175" max="175" width="9" bestFit="1" customWidth="1"/>
    <col min="176" max="176" width="11.7109375" bestFit="1" customWidth="1"/>
    <col min="177" max="177" width="9" bestFit="1" customWidth="1"/>
    <col min="178" max="178" width="11.7109375" bestFit="1" customWidth="1"/>
    <col min="179" max="179" width="9" bestFit="1" customWidth="1"/>
    <col min="180" max="180" width="11.7109375" bestFit="1" customWidth="1"/>
    <col min="181" max="181" width="9" bestFit="1" customWidth="1"/>
    <col min="182" max="182" width="11.7109375" bestFit="1" customWidth="1"/>
    <col min="183" max="183" width="9" bestFit="1" customWidth="1"/>
    <col min="184" max="184" width="11.7109375" bestFit="1" customWidth="1"/>
    <col min="185" max="185" width="9" bestFit="1" customWidth="1"/>
    <col min="186" max="186" width="11.7109375" bestFit="1" customWidth="1"/>
    <col min="187" max="187" width="9" bestFit="1" customWidth="1"/>
    <col min="188" max="188" width="11.7109375" bestFit="1" customWidth="1"/>
    <col min="189" max="189" width="9" bestFit="1" customWidth="1"/>
    <col min="190" max="190" width="11.7109375" bestFit="1" customWidth="1"/>
    <col min="191" max="191" width="9" bestFit="1" customWidth="1"/>
    <col min="192" max="192" width="11.7109375" bestFit="1" customWidth="1"/>
    <col min="193" max="193" width="9" bestFit="1" customWidth="1"/>
    <col min="194" max="194" width="11.7109375" bestFit="1" customWidth="1"/>
    <col min="195" max="195" width="9" bestFit="1" customWidth="1"/>
    <col min="196" max="196" width="11.7109375" bestFit="1" customWidth="1"/>
    <col min="197" max="197" width="9" bestFit="1" customWidth="1"/>
    <col min="198" max="198" width="11.7109375" bestFit="1" customWidth="1"/>
    <col min="199" max="199" width="9" bestFit="1" customWidth="1"/>
    <col min="200" max="200" width="11.7109375" bestFit="1" customWidth="1"/>
    <col min="201" max="201" width="9" bestFit="1" customWidth="1"/>
    <col min="202" max="202" width="11.7109375" bestFit="1" customWidth="1"/>
    <col min="203" max="203" width="9" bestFit="1" customWidth="1"/>
    <col min="204" max="204" width="11.7109375" bestFit="1" customWidth="1"/>
    <col min="205" max="205" width="9" bestFit="1" customWidth="1"/>
    <col min="206" max="206" width="11.7109375" bestFit="1" customWidth="1"/>
    <col min="207" max="207" width="9" bestFit="1" customWidth="1"/>
    <col min="208" max="208" width="11.7109375" bestFit="1" customWidth="1"/>
    <col min="209" max="209" width="9" bestFit="1" customWidth="1"/>
    <col min="210" max="210" width="11.7109375" bestFit="1" customWidth="1"/>
    <col min="211" max="211" width="9" bestFit="1" customWidth="1"/>
    <col min="212" max="212" width="11.7109375" bestFit="1" customWidth="1"/>
    <col min="213" max="213" width="9" bestFit="1" customWidth="1"/>
    <col min="214" max="214" width="11.7109375" bestFit="1" customWidth="1"/>
    <col min="215" max="215" width="9" bestFit="1" customWidth="1"/>
    <col min="216" max="216" width="11.7109375" bestFit="1" customWidth="1"/>
    <col min="217" max="217" width="9" bestFit="1" customWidth="1"/>
    <col min="218" max="218" width="11.7109375" bestFit="1" customWidth="1"/>
    <col min="219" max="219" width="9" bestFit="1" customWidth="1"/>
    <col min="220" max="220" width="11.7109375" bestFit="1" customWidth="1"/>
    <col min="221" max="221" width="9" bestFit="1" customWidth="1"/>
    <col min="222" max="222" width="11.7109375" bestFit="1" customWidth="1"/>
    <col min="223" max="223" width="9" bestFit="1" customWidth="1"/>
    <col min="224" max="224" width="11.7109375" bestFit="1" customWidth="1"/>
    <col min="225" max="225" width="9" bestFit="1" customWidth="1"/>
    <col min="226" max="226" width="11.7109375" bestFit="1" customWidth="1"/>
    <col min="227" max="227" width="9" bestFit="1" customWidth="1"/>
    <col min="228" max="228" width="11.7109375" bestFit="1" customWidth="1"/>
    <col min="229" max="229" width="9" bestFit="1" customWidth="1"/>
    <col min="230" max="230" width="11.7109375" bestFit="1" customWidth="1"/>
    <col min="231" max="231" width="9" bestFit="1" customWidth="1"/>
    <col min="232" max="232" width="11.7109375" bestFit="1" customWidth="1"/>
    <col min="233" max="233" width="9" bestFit="1" customWidth="1"/>
    <col min="234" max="234" width="11.7109375" bestFit="1" customWidth="1"/>
    <col min="235" max="235" width="9" bestFit="1" customWidth="1"/>
    <col min="236" max="236" width="11.7109375" bestFit="1" customWidth="1"/>
    <col min="237" max="237" width="9" bestFit="1" customWidth="1"/>
    <col min="238" max="238" width="11.7109375" bestFit="1" customWidth="1"/>
    <col min="239" max="239" width="9" bestFit="1" customWidth="1"/>
    <col min="240" max="240" width="11.7109375" bestFit="1" customWidth="1"/>
    <col min="241" max="241" width="9" bestFit="1" customWidth="1"/>
    <col min="242" max="242" width="11.7109375" bestFit="1" customWidth="1"/>
    <col min="243" max="243" width="9" bestFit="1" customWidth="1"/>
    <col min="244" max="244" width="11.7109375" bestFit="1" customWidth="1"/>
    <col min="245" max="245" width="9" bestFit="1" customWidth="1"/>
    <col min="246" max="246" width="11.7109375" bestFit="1" customWidth="1"/>
    <col min="247" max="247" width="9" bestFit="1" customWidth="1"/>
    <col min="248" max="248" width="11.7109375" bestFit="1" customWidth="1"/>
    <col min="249" max="249" width="9" bestFit="1" customWidth="1"/>
    <col min="250" max="250" width="11.7109375" bestFit="1" customWidth="1"/>
    <col min="251" max="251" width="9" bestFit="1" customWidth="1"/>
    <col min="252" max="252" width="11.7109375" bestFit="1" customWidth="1"/>
    <col min="253" max="253" width="9" bestFit="1" customWidth="1"/>
    <col min="254" max="254" width="11.7109375" bestFit="1" customWidth="1"/>
    <col min="255" max="255" width="9" bestFit="1" customWidth="1"/>
    <col min="256" max="256" width="11.7109375" bestFit="1" customWidth="1"/>
    <col min="257" max="257" width="9" bestFit="1" customWidth="1"/>
    <col min="258" max="258" width="11.7109375" bestFit="1" customWidth="1"/>
    <col min="259" max="259" width="9" bestFit="1" customWidth="1"/>
    <col min="260" max="260" width="11.7109375" bestFit="1" customWidth="1"/>
    <col min="261" max="261" width="9" bestFit="1" customWidth="1"/>
    <col min="262" max="262" width="11.7109375" bestFit="1" customWidth="1"/>
    <col min="263" max="263" width="9" bestFit="1" customWidth="1"/>
    <col min="264" max="264" width="11.7109375" bestFit="1" customWidth="1"/>
    <col min="265" max="265" width="9" bestFit="1" customWidth="1"/>
    <col min="266" max="266" width="11.7109375" bestFit="1" customWidth="1"/>
    <col min="267" max="267" width="9" bestFit="1" customWidth="1"/>
    <col min="268" max="268" width="11.7109375" bestFit="1" customWidth="1"/>
    <col min="269" max="269" width="9" bestFit="1" customWidth="1"/>
    <col min="270" max="270" width="11.7109375" bestFit="1" customWidth="1"/>
    <col min="271" max="271" width="9" bestFit="1" customWidth="1"/>
    <col min="272" max="272" width="11.7109375" bestFit="1" customWidth="1"/>
    <col min="273" max="273" width="9" bestFit="1" customWidth="1"/>
    <col min="274" max="274" width="11.7109375" bestFit="1" customWidth="1"/>
    <col min="275" max="275" width="9" bestFit="1" customWidth="1"/>
    <col min="276" max="276" width="11.7109375" bestFit="1" customWidth="1"/>
    <col min="277" max="277" width="9" bestFit="1" customWidth="1"/>
    <col min="278" max="278" width="11.7109375" bestFit="1" customWidth="1"/>
    <col min="279" max="279" width="9" bestFit="1" customWidth="1"/>
    <col min="280" max="280" width="11.7109375" bestFit="1" customWidth="1"/>
    <col min="281" max="281" width="9" bestFit="1" customWidth="1"/>
    <col min="282" max="282" width="11.7109375" bestFit="1" customWidth="1"/>
    <col min="283" max="283" width="9" bestFit="1" customWidth="1"/>
    <col min="284" max="284" width="11.7109375" bestFit="1" customWidth="1"/>
    <col min="285" max="285" width="9" bestFit="1" customWidth="1"/>
    <col min="286" max="286" width="11.7109375" bestFit="1" customWidth="1"/>
    <col min="287" max="287" width="9" bestFit="1" customWidth="1"/>
    <col min="288" max="288" width="11.7109375" bestFit="1" customWidth="1"/>
    <col min="289" max="289" width="9" bestFit="1" customWidth="1"/>
    <col min="290" max="290" width="11.7109375" bestFit="1" customWidth="1"/>
    <col min="291" max="291" width="9" bestFit="1" customWidth="1"/>
    <col min="292" max="292" width="11.7109375" bestFit="1" customWidth="1"/>
    <col min="293" max="293" width="9" bestFit="1" customWidth="1"/>
    <col min="294" max="294" width="11.7109375" bestFit="1" customWidth="1"/>
    <col min="295" max="295" width="9" bestFit="1" customWidth="1"/>
    <col min="296" max="296" width="11.7109375" bestFit="1" customWidth="1"/>
    <col min="297" max="297" width="9" bestFit="1" customWidth="1"/>
    <col min="298" max="298" width="11.7109375" bestFit="1" customWidth="1"/>
    <col min="299" max="299" width="9" bestFit="1" customWidth="1"/>
    <col min="300" max="300" width="11.7109375" bestFit="1" customWidth="1"/>
    <col min="301" max="301" width="9" bestFit="1" customWidth="1"/>
    <col min="302" max="302" width="11.7109375" bestFit="1" customWidth="1"/>
    <col min="303" max="303" width="9" bestFit="1" customWidth="1"/>
    <col min="304" max="304" width="11.7109375" bestFit="1" customWidth="1"/>
    <col min="305" max="305" width="9" bestFit="1" customWidth="1"/>
    <col min="306" max="306" width="11.7109375" bestFit="1" customWidth="1"/>
    <col min="307" max="307" width="9" bestFit="1" customWidth="1"/>
    <col min="308" max="308" width="11.7109375" bestFit="1" customWidth="1"/>
    <col min="309" max="309" width="9" bestFit="1" customWidth="1"/>
    <col min="310" max="310" width="11.7109375" bestFit="1" customWidth="1"/>
    <col min="311" max="311" width="9" bestFit="1" customWidth="1"/>
    <col min="312" max="312" width="11.7109375" bestFit="1" customWidth="1"/>
    <col min="313" max="313" width="9" bestFit="1" customWidth="1"/>
    <col min="314" max="314" width="11.7109375" bestFit="1" customWidth="1"/>
    <col min="315" max="315" width="9" bestFit="1" customWidth="1"/>
    <col min="316" max="316" width="11.7109375" bestFit="1" customWidth="1"/>
    <col min="317" max="317" width="9" bestFit="1" customWidth="1"/>
    <col min="318" max="318" width="11.7109375" bestFit="1" customWidth="1"/>
    <col min="319" max="319" width="9" bestFit="1" customWidth="1"/>
    <col min="320" max="320" width="11.7109375" bestFit="1" customWidth="1"/>
    <col min="321" max="321" width="9" bestFit="1" customWidth="1"/>
    <col min="322" max="322" width="11.7109375" bestFit="1" customWidth="1"/>
    <col min="323" max="323" width="9" bestFit="1" customWidth="1"/>
    <col min="324" max="324" width="11.7109375" bestFit="1" customWidth="1"/>
    <col min="325" max="325" width="9" bestFit="1" customWidth="1"/>
    <col min="326" max="326" width="11.7109375" bestFit="1" customWidth="1"/>
    <col min="327" max="327" width="9" bestFit="1" customWidth="1"/>
    <col min="328" max="328" width="11.7109375" bestFit="1" customWidth="1"/>
    <col min="329" max="329" width="9" bestFit="1" customWidth="1"/>
    <col min="330" max="330" width="11.7109375" bestFit="1" customWidth="1"/>
    <col min="331" max="331" width="9" bestFit="1" customWidth="1"/>
    <col min="332" max="332" width="11.7109375" bestFit="1" customWidth="1"/>
    <col min="333" max="333" width="9" bestFit="1" customWidth="1"/>
    <col min="334" max="334" width="11.7109375" bestFit="1" customWidth="1"/>
    <col min="335" max="335" width="9" bestFit="1" customWidth="1"/>
    <col min="336" max="336" width="11.7109375" bestFit="1" customWidth="1"/>
    <col min="337" max="337" width="9" bestFit="1" customWidth="1"/>
    <col min="338" max="338" width="11.7109375" bestFit="1" customWidth="1"/>
    <col min="339" max="339" width="9" bestFit="1" customWidth="1"/>
    <col min="340" max="340" width="11.7109375" bestFit="1" customWidth="1"/>
    <col min="341" max="341" width="9" bestFit="1" customWidth="1"/>
    <col min="342" max="342" width="11.7109375" bestFit="1" customWidth="1"/>
    <col min="343" max="343" width="9" bestFit="1" customWidth="1"/>
    <col min="344" max="344" width="11.7109375" bestFit="1" customWidth="1"/>
    <col min="345" max="345" width="9" bestFit="1" customWidth="1"/>
    <col min="346" max="346" width="11.7109375" bestFit="1" customWidth="1"/>
    <col min="347" max="347" width="9" bestFit="1" customWidth="1"/>
    <col min="348" max="348" width="11.7109375" bestFit="1" customWidth="1"/>
    <col min="349" max="349" width="9" bestFit="1" customWidth="1"/>
    <col min="350" max="350" width="11.7109375" bestFit="1" customWidth="1"/>
    <col min="351" max="351" width="9" bestFit="1" customWidth="1"/>
    <col min="352" max="352" width="11.7109375" bestFit="1" customWidth="1"/>
    <col min="353" max="353" width="9" bestFit="1" customWidth="1"/>
    <col min="354" max="354" width="11.7109375" bestFit="1" customWidth="1"/>
    <col min="355" max="355" width="9" bestFit="1" customWidth="1"/>
    <col min="356" max="356" width="11.7109375" bestFit="1" customWidth="1"/>
    <col min="357" max="357" width="9" bestFit="1" customWidth="1"/>
    <col min="358" max="358" width="11.7109375" bestFit="1" customWidth="1"/>
    <col min="359" max="359" width="9" bestFit="1" customWidth="1"/>
    <col min="360" max="360" width="11.7109375" bestFit="1" customWidth="1"/>
    <col min="361" max="361" width="9" bestFit="1" customWidth="1"/>
    <col min="362" max="362" width="11.7109375" bestFit="1" customWidth="1"/>
    <col min="363" max="363" width="9" bestFit="1" customWidth="1"/>
    <col min="364" max="364" width="11.7109375" bestFit="1" customWidth="1"/>
    <col min="365" max="365" width="9" bestFit="1" customWidth="1"/>
    <col min="366" max="366" width="11.7109375" bestFit="1" customWidth="1"/>
    <col min="367" max="367" width="9" bestFit="1" customWidth="1"/>
    <col min="368" max="368" width="11.7109375" bestFit="1" customWidth="1"/>
    <col min="369" max="369" width="9" bestFit="1" customWidth="1"/>
    <col min="370" max="370" width="11.7109375" bestFit="1" customWidth="1"/>
    <col min="371" max="371" width="9" bestFit="1" customWidth="1"/>
    <col min="372" max="372" width="11.7109375" bestFit="1" customWidth="1"/>
    <col min="373" max="373" width="9" bestFit="1" customWidth="1"/>
    <col min="374" max="374" width="11.7109375" bestFit="1" customWidth="1"/>
    <col min="375" max="375" width="9" bestFit="1" customWidth="1"/>
    <col min="376" max="376" width="11.7109375" bestFit="1" customWidth="1"/>
    <col min="377" max="377" width="9" bestFit="1" customWidth="1"/>
    <col min="378" max="378" width="11.7109375" bestFit="1" customWidth="1"/>
    <col min="379" max="379" width="9" bestFit="1" customWidth="1"/>
    <col min="380" max="380" width="11.7109375" bestFit="1" customWidth="1"/>
    <col min="381" max="381" width="10.5703125" bestFit="1" customWidth="1"/>
    <col min="382" max="382" width="13.42578125" bestFit="1" customWidth="1"/>
    <col min="383" max="383" width="11.140625" bestFit="1" customWidth="1"/>
  </cols>
  <sheetData>
    <row r="3" spans="1:3">
      <c r="A3" s="19" t="s">
        <v>11</v>
      </c>
      <c r="B3" s="19" t="s">
        <v>5</v>
      </c>
      <c r="C3" t="s">
        <v>308</v>
      </c>
    </row>
    <row r="4" spans="1:3">
      <c r="A4" t="s">
        <v>22</v>
      </c>
      <c r="B4" s="18">
        <v>85.473399999999998</v>
      </c>
      <c r="C4" s="20">
        <v>0.95199999999999996</v>
      </c>
    </row>
    <row r="5" spans="1:3">
      <c r="A5" t="s">
        <v>44</v>
      </c>
      <c r="B5" s="18">
        <v>84.783900000000003</v>
      </c>
      <c r="C5" s="20">
        <v>0.92500000000000004</v>
      </c>
    </row>
    <row r="6" spans="1:3">
      <c r="A6" t="s">
        <v>46</v>
      </c>
      <c r="B6" s="18">
        <v>77.1982</v>
      </c>
      <c r="C6" s="20">
        <v>0.92100000000000004</v>
      </c>
    </row>
    <row r="7" spans="1:3">
      <c r="A7" t="s">
        <v>59</v>
      </c>
      <c r="B7" s="18">
        <v>76.4572</v>
      </c>
      <c r="C7" s="20">
        <v>0.876</v>
      </c>
    </row>
    <row r="8" spans="1:3">
      <c r="A8" t="s">
        <v>110</v>
      </c>
      <c r="B8" s="18">
        <v>78.210700000000003</v>
      </c>
      <c r="C8" s="20">
        <v>0.76800000000000002</v>
      </c>
    </row>
    <row r="9" spans="1:3">
      <c r="A9" t="s">
        <v>144</v>
      </c>
      <c r="B9" s="18">
        <v>62.341000000000001</v>
      </c>
      <c r="C9" s="20">
        <v>0.71299999999999997</v>
      </c>
    </row>
    <row r="10" spans="1:3">
      <c r="A10" t="s">
        <v>150</v>
      </c>
      <c r="B10" s="18">
        <v>73.618099999999998</v>
      </c>
      <c r="C10" s="20">
        <v>0.70299999999999996</v>
      </c>
    </row>
    <row r="11" spans="1:3">
      <c r="A11" t="s">
        <v>167</v>
      </c>
      <c r="B11" s="18">
        <v>72.381100000000004</v>
      </c>
      <c r="C11" s="20">
        <v>0.66100000000000003</v>
      </c>
    </row>
    <row r="12" spans="1:3">
      <c r="A12" t="s">
        <v>170</v>
      </c>
      <c r="B12" s="18">
        <v>67.239800000000002</v>
      </c>
      <c r="C12" s="20">
        <v>0.63300000000000001</v>
      </c>
    </row>
    <row r="13" spans="1:3">
      <c r="A13" t="s">
        <v>204</v>
      </c>
      <c r="B13" s="18">
        <v>66.097899999999996</v>
      </c>
      <c r="C13" s="20">
        <v>0.54400000000000004</v>
      </c>
    </row>
    <row r="14" spans="1:3">
      <c r="A14" t="s">
        <v>228</v>
      </c>
      <c r="B14" s="18">
        <v>63.753399999999999</v>
      </c>
      <c r="C14" s="20">
        <v>0.45500000000000002</v>
      </c>
    </row>
    <row r="35" spans="1:3">
      <c r="A35" s="19" t="s">
        <v>309</v>
      </c>
      <c r="B35" t="s">
        <v>310</v>
      </c>
      <c r="C35" t="s">
        <v>311</v>
      </c>
    </row>
    <row r="36" spans="1:3">
      <c r="A36" s="26" t="s">
        <v>22</v>
      </c>
      <c r="B36" s="18">
        <v>17.278169630000001</v>
      </c>
      <c r="C36" s="18">
        <v>12.22620964</v>
      </c>
    </row>
    <row r="37" spans="1:3">
      <c r="A37" s="26" t="s">
        <v>46</v>
      </c>
      <c r="B37" s="18">
        <v>16.280979160000001</v>
      </c>
      <c r="C37" s="18">
        <v>13.683429719999999</v>
      </c>
    </row>
    <row r="38" spans="1:3">
      <c r="A38" s="26" t="s">
        <v>59</v>
      </c>
      <c r="B38" s="18">
        <v>16.0271492</v>
      </c>
      <c r="C38" s="18">
        <v>13.164750099999999</v>
      </c>
    </row>
    <row r="39" spans="1:3">
      <c r="A39" s="26" t="s">
        <v>44</v>
      </c>
      <c r="B39" s="18">
        <v>15.221625879999999</v>
      </c>
      <c r="C39" s="18">
        <v>13.366100339999999</v>
      </c>
    </row>
    <row r="40" spans="1:3">
      <c r="A40" s="26" t="s">
        <v>110</v>
      </c>
      <c r="B40" s="18">
        <v>14.2361149</v>
      </c>
      <c r="C40" s="18">
        <v>7.6001184459999998</v>
      </c>
    </row>
    <row r="41" spans="1:3">
      <c r="A41" s="26" t="s">
        <v>144</v>
      </c>
      <c r="B41" s="18">
        <v>13.64371014</v>
      </c>
      <c r="C41" s="18">
        <v>11.37316036</v>
      </c>
    </row>
    <row r="42" spans="1:3">
      <c r="A42" s="26" t="s">
        <v>150</v>
      </c>
      <c r="B42" s="18">
        <v>12.9519325</v>
      </c>
      <c r="C42" s="18">
        <v>8.370280266</v>
      </c>
    </row>
    <row r="43" spans="1:3">
      <c r="A43" s="26" t="s">
        <v>167</v>
      </c>
      <c r="B43" s="18">
        <v>12.441980360000001</v>
      </c>
      <c r="C43" s="18">
        <v>7.3790597919999996</v>
      </c>
    </row>
    <row r="44" spans="1:3">
      <c r="A44" s="26" t="s">
        <v>170</v>
      </c>
      <c r="B44" s="18">
        <v>11.874620439999999</v>
      </c>
      <c r="C44" s="18">
        <v>6.6551091949999996</v>
      </c>
    </row>
    <row r="45" spans="1:3">
      <c r="A45" s="26" t="s">
        <v>228</v>
      </c>
      <c r="B45" s="18">
        <v>9.0987100600000002</v>
      </c>
      <c r="C45" s="18">
        <v>3.2</v>
      </c>
    </row>
    <row r="46" spans="1:3">
      <c r="A46" s="26" t="s">
        <v>204</v>
      </c>
      <c r="B46" s="18">
        <v>8.6583499909999997</v>
      </c>
      <c r="C46" s="18">
        <v>4.5363302230000002</v>
      </c>
    </row>
    <row r="70" spans="1:3">
      <c r="A70" s="19" t="s">
        <v>11</v>
      </c>
      <c r="B70" s="19" t="s">
        <v>307</v>
      </c>
      <c r="C70" t="s">
        <v>312</v>
      </c>
    </row>
    <row r="71" spans="1:3">
      <c r="A71" t="s">
        <v>44</v>
      </c>
      <c r="C71" s="25">
        <v>12</v>
      </c>
    </row>
    <row r="72" spans="1:3">
      <c r="B72" t="s">
        <v>17</v>
      </c>
      <c r="C72" s="25">
        <v>12</v>
      </c>
    </row>
    <row r="73" spans="1:3">
      <c r="A73" t="s">
        <v>59</v>
      </c>
      <c r="C73" s="25">
        <v>8</v>
      </c>
    </row>
    <row r="74" spans="1:3">
      <c r="B74" t="s">
        <v>17</v>
      </c>
      <c r="C74" s="25">
        <v>8</v>
      </c>
    </row>
    <row r="75" spans="1:3">
      <c r="A75" t="s">
        <v>150</v>
      </c>
      <c r="C75" s="25">
        <v>6</v>
      </c>
    </row>
    <row r="76" spans="1:3">
      <c r="B76" t="s">
        <v>96</v>
      </c>
      <c r="C76" s="25">
        <v>6</v>
      </c>
    </row>
    <row r="77" spans="1:3">
      <c r="A77" t="s">
        <v>22</v>
      </c>
      <c r="C77" s="25">
        <v>6</v>
      </c>
    </row>
    <row r="78" spans="1:3">
      <c r="B78" t="s">
        <v>17</v>
      </c>
      <c r="C78" s="25">
        <v>6</v>
      </c>
    </row>
    <row r="79" spans="1:3">
      <c r="A79" t="s">
        <v>167</v>
      </c>
      <c r="C79" s="25">
        <v>4</v>
      </c>
    </row>
    <row r="80" spans="1:3">
      <c r="B80" t="s">
        <v>152</v>
      </c>
      <c r="C80" s="25">
        <v>4</v>
      </c>
    </row>
    <row r="81" spans="1:3">
      <c r="A81" t="s">
        <v>228</v>
      </c>
      <c r="C81" s="25">
        <v>1</v>
      </c>
    </row>
    <row r="82" spans="1:3">
      <c r="B82" t="s">
        <v>202</v>
      </c>
      <c r="C82" s="25">
        <v>1</v>
      </c>
    </row>
    <row r="83" spans="1:3">
      <c r="A83" t="s">
        <v>236</v>
      </c>
      <c r="C83" s="25">
        <v>-1</v>
      </c>
    </row>
    <row r="84" spans="1:3">
      <c r="B84" t="s">
        <v>202</v>
      </c>
      <c r="C84" s="25">
        <v>-1</v>
      </c>
    </row>
    <row r="85" spans="1:3">
      <c r="A85" t="s">
        <v>110</v>
      </c>
      <c r="C85" s="25">
        <v>-8</v>
      </c>
    </row>
    <row r="86" spans="1:3">
      <c r="B86" t="s">
        <v>96</v>
      </c>
      <c r="C86" s="25">
        <v>-8</v>
      </c>
    </row>
    <row r="87" spans="1:3">
      <c r="A87" t="s">
        <v>46</v>
      </c>
      <c r="C87" s="25">
        <v>-14</v>
      </c>
    </row>
    <row r="88" spans="1:3">
      <c r="B88" t="s">
        <v>17</v>
      </c>
      <c r="C88" s="25">
        <v>-14</v>
      </c>
    </row>
    <row r="89" spans="1:3">
      <c r="A89" t="s">
        <v>144</v>
      </c>
      <c r="C89" s="25">
        <v>-17</v>
      </c>
    </row>
    <row r="90" spans="1:3">
      <c r="B90" t="s">
        <v>96</v>
      </c>
      <c r="C90" s="25">
        <v>-17</v>
      </c>
    </row>
    <row r="91" spans="1:3">
      <c r="A91" t="s">
        <v>204</v>
      </c>
      <c r="C91" s="25">
        <v>-19</v>
      </c>
    </row>
    <row r="92" spans="1:3">
      <c r="B92" t="s">
        <v>202</v>
      </c>
      <c r="C92" s="25">
        <v>-19</v>
      </c>
    </row>
    <row r="93" spans="1:3">
      <c r="A93" t="s">
        <v>313</v>
      </c>
      <c r="C93" s="25">
        <v>-22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8BE9-84D6-461E-A425-E7E39E3E4D5F}">
  <dimension ref="A1:W81"/>
  <sheetViews>
    <sheetView tabSelected="1" topLeftCell="A62" zoomScale="91" workbookViewId="0">
      <selection activeCell="A66" sqref="A66:J66"/>
    </sheetView>
  </sheetViews>
  <sheetFormatPr defaultRowHeight="14.45"/>
  <cols>
    <col min="1" max="1" width="9.28515625" bestFit="1" customWidth="1"/>
  </cols>
  <sheetData>
    <row r="1" spans="1:23" ht="14.45" customHeight="1">
      <c r="A1" s="34" t="s">
        <v>314</v>
      </c>
      <c r="B1" s="34"/>
      <c r="C1" s="34"/>
      <c r="D1" s="34"/>
      <c r="E1" s="34"/>
      <c r="F1" s="34"/>
      <c r="G1" s="34"/>
      <c r="H1" s="34"/>
      <c r="I1" s="34"/>
      <c r="J1" s="34"/>
      <c r="K1" s="34"/>
      <c r="L1" s="34"/>
      <c r="M1" s="34"/>
      <c r="N1" s="34"/>
      <c r="O1" s="34"/>
      <c r="P1" s="34"/>
      <c r="Q1" s="34"/>
      <c r="R1" s="34"/>
      <c r="S1" s="34"/>
      <c r="T1" s="34"/>
      <c r="U1" s="34"/>
      <c r="V1" s="34"/>
      <c r="W1" s="34"/>
    </row>
    <row r="2" spans="1:23" ht="14.45" customHeight="1">
      <c r="A2" s="34"/>
      <c r="B2" s="34"/>
      <c r="C2" s="34"/>
      <c r="D2" s="34"/>
      <c r="E2" s="34"/>
      <c r="F2" s="34"/>
      <c r="G2" s="34"/>
      <c r="H2" s="34"/>
      <c r="I2" s="34"/>
      <c r="J2" s="34"/>
      <c r="K2" s="34"/>
      <c r="L2" s="34"/>
      <c r="M2" s="34"/>
      <c r="N2" s="34"/>
      <c r="O2" s="34"/>
      <c r="P2" s="34"/>
      <c r="Q2" s="34"/>
      <c r="R2" s="34"/>
      <c r="S2" s="34"/>
      <c r="T2" s="34"/>
      <c r="U2" s="34"/>
      <c r="V2" s="34"/>
      <c r="W2" s="34"/>
    </row>
    <row r="3" spans="1:23" ht="14.45" customHeight="1">
      <c r="A3" s="34"/>
      <c r="B3" s="34"/>
      <c r="C3" s="34"/>
      <c r="D3" s="34"/>
      <c r="E3" s="34"/>
      <c r="F3" s="34"/>
      <c r="G3" s="34"/>
      <c r="H3" s="34"/>
      <c r="I3" s="34"/>
      <c r="J3" s="34"/>
      <c r="K3" s="34"/>
      <c r="L3" s="34"/>
      <c r="M3" s="34"/>
      <c r="N3" s="34"/>
      <c r="O3" s="34"/>
      <c r="P3" s="34"/>
      <c r="Q3" s="34"/>
      <c r="R3" s="34"/>
      <c r="S3" s="34"/>
      <c r="T3" s="34"/>
      <c r="U3" s="34"/>
      <c r="V3" s="34"/>
      <c r="W3" s="34"/>
    </row>
    <row r="4" spans="1:23" ht="14.45" customHeight="1">
      <c r="A4" s="34"/>
      <c r="B4" s="34"/>
      <c r="C4" s="34"/>
      <c r="D4" s="34"/>
      <c r="E4" s="34"/>
      <c r="F4" s="34"/>
      <c r="G4" s="34"/>
      <c r="H4" s="34"/>
      <c r="I4" s="34"/>
      <c r="J4" s="34"/>
      <c r="K4" s="34"/>
      <c r="L4" s="34"/>
      <c r="M4" s="34"/>
      <c r="N4" s="34"/>
      <c r="O4" s="34"/>
      <c r="P4" s="34"/>
      <c r="Q4" s="34"/>
      <c r="R4" s="34"/>
      <c r="S4" s="34"/>
      <c r="T4" s="34"/>
      <c r="U4" s="34"/>
      <c r="V4" s="34"/>
      <c r="W4" s="34"/>
    </row>
    <row r="5" spans="1:23" ht="14.45" customHeight="1">
      <c r="A5" s="34"/>
      <c r="B5" s="34"/>
      <c r="C5" s="34"/>
      <c r="D5" s="34"/>
      <c r="E5" s="34"/>
      <c r="F5" s="34"/>
      <c r="G5" s="34"/>
      <c r="H5" s="34"/>
      <c r="I5" s="34"/>
      <c r="J5" s="34"/>
      <c r="K5" s="34"/>
      <c r="L5" s="34"/>
      <c r="M5" s="34"/>
      <c r="N5" s="34"/>
      <c r="O5" s="34"/>
      <c r="P5" s="34"/>
      <c r="Q5" s="34"/>
      <c r="R5" s="34"/>
      <c r="S5" s="34"/>
      <c r="T5" s="34"/>
      <c r="U5" s="34"/>
      <c r="V5" s="34"/>
      <c r="W5" s="34"/>
    </row>
    <row r="6" spans="1:23" ht="14.45" customHeight="1">
      <c r="A6" s="34"/>
      <c r="B6" s="34"/>
      <c r="C6" s="34"/>
      <c r="D6" s="34"/>
      <c r="E6" s="34"/>
      <c r="F6" s="34"/>
      <c r="G6" s="34"/>
      <c r="H6" s="34"/>
      <c r="I6" s="34"/>
      <c r="J6" s="34"/>
      <c r="K6" s="34"/>
      <c r="L6" s="34"/>
      <c r="M6" s="34"/>
      <c r="N6" s="34"/>
      <c r="O6" s="34"/>
      <c r="P6" s="34"/>
      <c r="Q6" s="34"/>
      <c r="R6" s="34"/>
      <c r="S6" s="34"/>
      <c r="T6" s="34"/>
      <c r="U6" s="34"/>
      <c r="V6" s="34"/>
      <c r="W6" s="34"/>
    </row>
    <row r="48" ht="15"/>
    <row r="49" spans="1:18" ht="15">
      <c r="A49" s="35" t="s">
        <v>315</v>
      </c>
      <c r="B49" s="35"/>
      <c r="C49" s="35"/>
      <c r="D49" s="35"/>
      <c r="E49" s="35"/>
      <c r="F49" s="35"/>
      <c r="G49" s="35"/>
      <c r="H49" s="35"/>
      <c r="I49" s="35"/>
      <c r="J49" s="35"/>
      <c r="K49" s="35"/>
      <c r="L49" s="35"/>
      <c r="M49" s="35"/>
      <c r="N49" s="35"/>
      <c r="O49" s="35"/>
      <c r="P49" s="35"/>
      <c r="Q49" s="35"/>
      <c r="R49" s="35"/>
    </row>
    <row r="50" spans="1:18" ht="15">
      <c r="A50" s="35"/>
      <c r="B50" s="35"/>
      <c r="C50" s="35"/>
      <c r="D50" s="35"/>
      <c r="E50" s="35"/>
      <c r="F50" s="35"/>
      <c r="G50" s="35"/>
      <c r="H50" s="35"/>
      <c r="I50" s="35"/>
      <c r="J50" s="35"/>
      <c r="K50" s="35"/>
      <c r="L50" s="35"/>
      <c r="M50" s="35"/>
      <c r="N50" s="35"/>
      <c r="O50" s="35"/>
      <c r="P50" s="35"/>
      <c r="Q50" s="35"/>
      <c r="R50" s="35"/>
    </row>
    <row r="51" spans="1:18" ht="15">
      <c r="A51" s="29"/>
    </row>
    <row r="52" spans="1:18">
      <c r="A52" s="30" t="s">
        <v>316</v>
      </c>
    </row>
    <row r="53" spans="1:18">
      <c r="A53" s="29"/>
    </row>
    <row r="54" spans="1:18">
      <c r="A54" s="30" t="s">
        <v>317</v>
      </c>
    </row>
    <row r="55" spans="1:18">
      <c r="A55" s="29"/>
    </row>
    <row r="56" spans="1:18">
      <c r="A56" s="30" t="s">
        <v>318</v>
      </c>
    </row>
    <row r="57" spans="1:18">
      <c r="A57" s="29"/>
    </row>
    <row r="58" spans="1:18">
      <c r="A58" s="30" t="s">
        <v>319</v>
      </c>
    </row>
    <row r="59" spans="1:18">
      <c r="A59" s="29"/>
    </row>
    <row r="60" spans="1:18">
      <c r="A60" s="30" t="s">
        <v>320</v>
      </c>
    </row>
    <row r="61" spans="1:18">
      <c r="A61" s="29"/>
    </row>
    <row r="62" spans="1:18">
      <c r="A62" s="30" t="s">
        <v>321</v>
      </c>
    </row>
    <row r="63" spans="1:18">
      <c r="A63" s="29"/>
    </row>
    <row r="64" spans="1:18">
      <c r="A64" s="30" t="s">
        <v>322</v>
      </c>
    </row>
    <row r="65" spans="1:17" ht="15"/>
    <row r="66" spans="1:17" ht="165.75" customHeight="1">
      <c r="A66" s="38" t="s">
        <v>323</v>
      </c>
      <c r="B66" s="38"/>
      <c r="C66" s="38"/>
      <c r="D66" s="38"/>
      <c r="E66" s="38"/>
      <c r="F66" s="38"/>
      <c r="G66" s="38"/>
      <c r="H66" s="38"/>
      <c r="I66" s="38"/>
      <c r="J66" s="38"/>
      <c r="K66" s="37"/>
      <c r="L66" s="37"/>
      <c r="M66" s="37"/>
    </row>
    <row r="67" spans="1:17" ht="15">
      <c r="A67" s="37"/>
      <c r="B67" s="37"/>
      <c r="C67" s="37"/>
      <c r="D67" s="37"/>
      <c r="E67" s="37"/>
      <c r="F67" s="37"/>
      <c r="G67" s="37"/>
      <c r="H67" s="37"/>
      <c r="I67" s="37"/>
      <c r="J67" s="37"/>
      <c r="K67" s="37"/>
      <c r="L67" s="37"/>
      <c r="M67" s="37"/>
    </row>
    <row r="68" spans="1:17" ht="14.45" customHeight="1">
      <c r="A68" s="37"/>
      <c r="B68" s="37"/>
      <c r="C68" s="37"/>
      <c r="D68" s="37"/>
      <c r="E68" s="37"/>
      <c r="F68" s="37"/>
      <c r="G68" s="37"/>
      <c r="H68" s="37"/>
      <c r="I68" s="37"/>
      <c r="J68" s="37"/>
      <c r="K68" s="37"/>
      <c r="L68" s="37"/>
      <c r="M68" s="37"/>
    </row>
    <row r="69" spans="1:17" ht="14.45" customHeight="1">
      <c r="A69" s="37"/>
      <c r="B69" s="37"/>
      <c r="C69" s="37"/>
      <c r="D69" s="37"/>
      <c r="E69" s="37"/>
      <c r="F69" s="37"/>
      <c r="G69" s="37"/>
      <c r="H69" s="37"/>
      <c r="I69" s="37"/>
      <c r="J69" s="37"/>
      <c r="K69" s="37"/>
      <c r="L69" s="37"/>
      <c r="M69" s="37"/>
    </row>
    <row r="70" spans="1:17" ht="14.45" customHeight="1">
      <c r="A70" s="37"/>
      <c r="B70" s="37"/>
      <c r="C70" s="37"/>
      <c r="D70" s="37"/>
      <c r="E70" s="37"/>
      <c r="F70" s="37"/>
      <c r="G70" s="37"/>
      <c r="H70" s="37"/>
      <c r="I70" s="37"/>
      <c r="J70" s="37"/>
      <c r="K70" s="37"/>
      <c r="L70" s="37"/>
      <c r="M70" s="37"/>
      <c r="N70" s="36"/>
      <c r="O70" s="36"/>
      <c r="P70" s="36"/>
      <c r="Q70" s="36"/>
    </row>
    <row r="71" spans="1:17" ht="14.45" customHeight="1">
      <c r="A71" s="37"/>
      <c r="B71" s="37"/>
      <c r="C71" s="37"/>
      <c r="D71" s="37"/>
      <c r="E71" s="37"/>
      <c r="F71" s="37"/>
      <c r="G71" s="37"/>
      <c r="H71" s="37"/>
      <c r="I71" s="37"/>
      <c r="J71" s="37"/>
      <c r="K71" s="37"/>
      <c r="L71" s="37"/>
      <c r="M71" s="37"/>
      <c r="N71" s="36"/>
      <c r="O71" s="36"/>
      <c r="P71" s="36"/>
      <c r="Q71" s="36"/>
    </row>
    <row r="72" spans="1:17" ht="14.45" customHeight="1">
      <c r="A72" s="37"/>
      <c r="B72" s="37"/>
      <c r="C72" s="37"/>
      <c r="D72" s="37"/>
      <c r="E72" s="37"/>
      <c r="F72" s="37"/>
      <c r="G72" s="37"/>
      <c r="H72" s="37"/>
      <c r="I72" s="37"/>
      <c r="J72" s="37"/>
      <c r="K72" s="37"/>
      <c r="L72" s="37"/>
      <c r="M72" s="37"/>
      <c r="N72" s="36"/>
      <c r="O72" s="36"/>
      <c r="P72" s="36"/>
      <c r="Q72" s="36"/>
    </row>
    <row r="73" spans="1:17" ht="14.45" customHeight="1">
      <c r="A73" s="37"/>
      <c r="B73" s="37"/>
      <c r="C73" s="37"/>
      <c r="D73" s="37"/>
      <c r="E73" s="37"/>
      <c r="F73" s="37"/>
      <c r="G73" s="37"/>
      <c r="H73" s="37"/>
      <c r="I73" s="37"/>
      <c r="J73" s="37"/>
      <c r="K73" s="37"/>
      <c r="L73" s="37"/>
      <c r="M73" s="37"/>
      <c r="N73" s="36"/>
      <c r="O73" s="36"/>
      <c r="P73" s="36"/>
      <c r="Q73" s="36"/>
    </row>
    <row r="74" spans="1:17" ht="14.45" customHeight="1">
      <c r="A74" s="37"/>
      <c r="B74" s="37"/>
      <c r="C74" s="37"/>
      <c r="D74" s="37"/>
      <c r="E74" s="37"/>
      <c r="F74" s="37"/>
      <c r="G74" s="37"/>
      <c r="H74" s="37"/>
      <c r="I74" s="37"/>
      <c r="J74" s="37"/>
      <c r="K74" s="37"/>
      <c r="L74" s="37"/>
      <c r="M74" s="37"/>
      <c r="N74" s="36"/>
      <c r="O74" s="36"/>
      <c r="P74" s="36"/>
      <c r="Q74" s="36"/>
    </row>
    <row r="75" spans="1:17" ht="14.45" customHeight="1">
      <c r="A75" s="37"/>
      <c r="B75" s="37"/>
      <c r="C75" s="37"/>
      <c r="D75" s="37"/>
      <c r="E75" s="37"/>
      <c r="F75" s="37"/>
      <c r="G75" s="37"/>
      <c r="H75" s="37"/>
      <c r="I75" s="37"/>
      <c r="J75" s="37"/>
      <c r="K75" s="37"/>
      <c r="L75" s="37"/>
      <c r="M75" s="37"/>
      <c r="N75" s="36"/>
      <c r="O75" s="36"/>
      <c r="P75" s="36"/>
      <c r="Q75" s="36"/>
    </row>
    <row r="76" spans="1:17" ht="14.45" customHeight="1">
      <c r="A76" s="37"/>
      <c r="B76" s="37"/>
      <c r="C76" s="37"/>
      <c r="D76" s="37"/>
      <c r="E76" s="37"/>
      <c r="F76" s="37"/>
      <c r="G76" s="37"/>
      <c r="H76" s="37"/>
      <c r="I76" s="37"/>
      <c r="J76" s="37"/>
      <c r="K76" s="37"/>
      <c r="L76" s="37"/>
      <c r="M76" s="37"/>
      <c r="N76" s="36"/>
      <c r="O76" s="36"/>
      <c r="P76" s="36"/>
      <c r="Q76" s="36"/>
    </row>
    <row r="77" spans="1:17" ht="14.45" customHeight="1">
      <c r="N77" s="36"/>
      <c r="O77" s="36"/>
      <c r="P77" s="36"/>
      <c r="Q77" s="36"/>
    </row>
    <row r="78" spans="1:17" ht="14.45" customHeight="1">
      <c r="N78" s="36"/>
      <c r="O78" s="36"/>
      <c r="P78" s="36"/>
      <c r="Q78" s="36"/>
    </row>
    <row r="79" spans="1:17" ht="14.45" customHeight="1">
      <c r="N79" s="36"/>
      <c r="O79" s="36"/>
      <c r="P79" s="36"/>
      <c r="Q79" s="36"/>
    </row>
    <row r="80" spans="1:17" ht="15"/>
    <row r="81" ht="15"/>
  </sheetData>
  <mergeCells count="3">
    <mergeCell ref="A66:J66"/>
    <mergeCell ref="A1:W6"/>
    <mergeCell ref="A49:R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Anuradha Vempaty</dc:creator>
  <cp:keywords/>
  <dc:description/>
  <cp:lastModifiedBy/>
  <cp:revision/>
  <dcterms:created xsi:type="dcterms:W3CDTF">2022-12-05T16:32:00Z</dcterms:created>
  <dcterms:modified xsi:type="dcterms:W3CDTF">2026-01-07T07:24:05Z</dcterms:modified>
  <cp:category/>
  <cp:contentStatus/>
</cp:coreProperties>
</file>